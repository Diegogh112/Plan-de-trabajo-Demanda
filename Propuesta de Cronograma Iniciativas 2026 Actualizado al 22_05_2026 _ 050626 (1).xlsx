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namedSheetViews/namedSheetView1.xml" ContentType="application/vnd.ms-excel.namedsheetviews+xml"/>
  <Override PartName="/xl/namedSheetViews/namedSheetView2.xml" ContentType="application/vnd.ms-excel.namedsheetview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always" codeName="ThisWorkbook"/>
  <mc:AlternateContent xmlns:mc="http://schemas.openxmlformats.org/markup-compatibility/2006">
    <mc:Choice Requires="x15">
      <x15ac:absPath xmlns:x15ac="http://schemas.microsoft.com/office/spreadsheetml/2010/11/ac" url="C:\Users\diego\Downloads\"/>
    </mc:Choice>
  </mc:AlternateContent>
  <xr:revisionPtr revIDLastSave="0" documentId="13_ncr:1_{576DBDE1-AFF3-40ED-A596-8DB0A5D3BF7F}" xr6:coauthVersionLast="47" xr6:coauthVersionMax="47" xr10:uidLastSave="{00000000-0000-0000-0000-000000000000}"/>
  <bookViews>
    <workbookView xWindow="-108" yWindow="-108" windowWidth="23256" windowHeight="12456" tabRatio="606" firstSheet="1" activeTab="1" xr2:uid="{00000000-000D-0000-FFFF-FFFF00000000}"/>
  </bookViews>
  <sheets>
    <sheet name="Detalle1" sheetId="54" r:id="rId1"/>
    <sheet name="ResumenTemporal" sheetId="33" r:id="rId2"/>
    <sheet name="PRIORIDAD UNO" sheetId="47" r:id="rId3"/>
    <sheet name="Cálculos Manual" sheetId="48" r:id="rId4"/>
    <sheet name="Informe" sheetId="52" r:id="rId5"/>
    <sheet name="Timeline" sheetId="50" r:id="rId6"/>
    <sheet name="FERIADOS" sheetId="49" r:id="rId7"/>
    <sheet name="Información" sheetId="51" r:id="rId8"/>
    <sheet name="Historial de Versiones" sheetId="53" r:id="rId9"/>
  </sheets>
  <definedNames>
    <definedName name="_xlnm._FilterDatabase" localSheetId="3" hidden="1">'Cálculos Manual'!$A$1:$N$238</definedName>
    <definedName name="_xlnm._FilterDatabase" localSheetId="5" hidden="1">Timeline!#REF!</definedName>
    <definedName name="DatosExternos_1" localSheetId="5" hidden="1">Timeline!$A$4:$N$132</definedName>
    <definedName name="SegmentaciónDeDatos_Tamaño">#N/A</definedName>
    <definedName name="SegmentaciónDeDatos_Tiene_Anexo_2">#N/A</definedName>
  </definedNames>
  <calcPr calcId="191029"/>
  <pivotCaches>
    <pivotCache cacheId="1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1" i="47" l="1"/>
  <c r="AI115" i="33"/>
  <c r="E131" i="47"/>
  <c r="E132" i="47"/>
  <c r="R132" i="47" s="1"/>
  <c r="S132" i="47" s="1"/>
  <c r="T132" i="47" s="1"/>
  <c r="U132" i="47" s="1"/>
  <c r="R131" i="47"/>
  <c r="S131" i="47"/>
  <c r="T131" i="47" s="1"/>
  <c r="U131" i="47" s="1"/>
  <c r="X131" i="47"/>
  <c r="X132" i="47"/>
  <c r="Y131" i="47"/>
  <c r="Y132" i="47"/>
  <c r="Z131" i="47"/>
  <c r="Z132" i="47"/>
  <c r="Y106" i="33"/>
  <c r="Y107" i="33"/>
  <c r="Y108" i="33"/>
  <c r="Y109" i="33"/>
  <c r="Y110" i="33"/>
  <c r="Y111" i="33"/>
  <c r="Y112" i="33"/>
  <c r="Y113" i="33"/>
  <c r="Y114" i="33"/>
  <c r="X106" i="33"/>
  <c r="X115" i="33" s="1"/>
  <c r="W106" i="33"/>
  <c r="W115" i="33" s="1"/>
  <c r="AG115" i="33"/>
  <c r="AH115" i="33"/>
  <c r="AA107" i="33"/>
  <c r="AB107" i="33"/>
  <c r="AC107" i="33"/>
  <c r="AD107" i="33"/>
  <c r="AE107" i="33"/>
  <c r="AF107" i="33"/>
  <c r="AA108" i="33"/>
  <c r="AB108" i="33"/>
  <c r="AC108" i="33"/>
  <c r="AD108" i="33"/>
  <c r="AE108" i="33"/>
  <c r="AF108" i="33"/>
  <c r="AA109" i="33"/>
  <c r="AB109" i="33"/>
  <c r="AC109" i="33"/>
  <c r="AD109" i="33"/>
  <c r="AE109" i="33"/>
  <c r="AF109" i="33"/>
  <c r="AA110" i="33"/>
  <c r="AB110" i="33"/>
  <c r="AC110" i="33"/>
  <c r="AD110" i="33"/>
  <c r="AE110" i="33"/>
  <c r="AF110" i="33"/>
  <c r="AA111" i="33"/>
  <c r="AB111" i="33"/>
  <c r="AC111" i="33"/>
  <c r="AD111" i="33"/>
  <c r="AE111" i="33"/>
  <c r="AF111" i="33"/>
  <c r="AA112" i="33"/>
  <c r="AB112" i="33"/>
  <c r="AC112" i="33"/>
  <c r="AD112" i="33"/>
  <c r="AE112" i="33"/>
  <c r="AF112" i="33"/>
  <c r="AA113" i="33"/>
  <c r="AB113" i="33"/>
  <c r="AC113" i="33"/>
  <c r="AD113" i="33"/>
  <c r="AE113" i="33"/>
  <c r="AF113" i="33"/>
  <c r="AA114" i="33"/>
  <c r="AB114" i="33"/>
  <c r="AC114" i="33"/>
  <c r="AD114" i="33"/>
  <c r="AE114" i="33"/>
  <c r="AF114" i="33"/>
  <c r="AF106" i="33"/>
  <c r="AE106" i="33"/>
  <c r="AD106" i="33"/>
  <c r="AC106" i="33"/>
  <c r="AB106" i="33"/>
  <c r="AA106" i="33"/>
  <c r="Z107" i="33"/>
  <c r="Z108" i="33"/>
  <c r="Z109" i="33"/>
  <c r="Z110" i="33"/>
  <c r="Z111" i="33"/>
  <c r="Z112" i="33"/>
  <c r="Z113" i="33"/>
  <c r="Z114" i="33"/>
  <c r="Z106" i="33"/>
  <c r="E35" i="47"/>
  <c r="R35" i="47" s="1"/>
  <c r="Z108" i="47"/>
  <c r="Y108" i="47"/>
  <c r="X108" i="47"/>
  <c r="E108" i="47"/>
  <c r="R108" i="47" s="1"/>
  <c r="Z28" i="47"/>
  <c r="Y28" i="47"/>
  <c r="X28" i="47"/>
  <c r="E28" i="47"/>
  <c r="R28" i="47" s="1"/>
  <c r="A2" i="50"/>
  <c r="Z128" i="47"/>
  <c r="Z127" i="47"/>
  <c r="Z126" i="47"/>
  <c r="Z8" i="47"/>
  <c r="Z9" i="47"/>
  <c r="Z10" i="47"/>
  <c r="Z11" i="47"/>
  <c r="Z124" i="47"/>
  <c r="Z14" i="47"/>
  <c r="Z15" i="47"/>
  <c r="Z16" i="47"/>
  <c r="Z17" i="47"/>
  <c r="Z122" i="47"/>
  <c r="Z19" i="47"/>
  <c r="Z121" i="47"/>
  <c r="Z116" i="47"/>
  <c r="Z115" i="47"/>
  <c r="Z25" i="47"/>
  <c r="Z114" i="47"/>
  <c r="Z113" i="47"/>
  <c r="Z106" i="47"/>
  <c r="Z104" i="47"/>
  <c r="Z31" i="47"/>
  <c r="Z32" i="47"/>
  <c r="Z101" i="47"/>
  <c r="Z34" i="47"/>
  <c r="Z95" i="47"/>
  <c r="Z89" i="47"/>
  <c r="Z37" i="47"/>
  <c r="Z38" i="47"/>
  <c r="Z39" i="47"/>
  <c r="Z41" i="47"/>
  <c r="Z42" i="47"/>
  <c r="Z43" i="47"/>
  <c r="Z44" i="47"/>
  <c r="Z88" i="47"/>
  <c r="Z46" i="47"/>
  <c r="Z47" i="47"/>
  <c r="Z48" i="47"/>
  <c r="Z78" i="47"/>
  <c r="Z51" i="47"/>
  <c r="Z52" i="47"/>
  <c r="Z53" i="47"/>
  <c r="Z54" i="47"/>
  <c r="Z55" i="47"/>
  <c r="Z76" i="47"/>
  <c r="Z74" i="47"/>
  <c r="Z58" i="47"/>
  <c r="Z59" i="47"/>
  <c r="Z69" i="47"/>
  <c r="Z68" i="47"/>
  <c r="Z62" i="47"/>
  <c r="Z65" i="47"/>
  <c r="Z66" i="47"/>
  <c r="Z63" i="47"/>
  <c r="Z67" i="47"/>
  <c r="Z61" i="47"/>
  <c r="Z60" i="47"/>
  <c r="Z70" i="47"/>
  <c r="Z71" i="47"/>
  <c r="Z72" i="47"/>
  <c r="Z73" i="47"/>
  <c r="Z57" i="47"/>
  <c r="Z56" i="47"/>
  <c r="Z77" i="47"/>
  <c r="Z49" i="47"/>
  <c r="Z79" i="47"/>
  <c r="Z80" i="47"/>
  <c r="Z81" i="47"/>
  <c r="Z82" i="47"/>
  <c r="Z83" i="47"/>
  <c r="Z84" i="47"/>
  <c r="Z85" i="47"/>
  <c r="Z86" i="47"/>
  <c r="Z87" i="47"/>
  <c r="Z45" i="47"/>
  <c r="Z36" i="47"/>
  <c r="Z90" i="47"/>
  <c r="Z91" i="47"/>
  <c r="Z92" i="47"/>
  <c r="Z93" i="47"/>
  <c r="Z94" i="47"/>
  <c r="Z35" i="47"/>
  <c r="Z96" i="47"/>
  <c r="Z97" i="47"/>
  <c r="Z98" i="47"/>
  <c r="Z99" i="47"/>
  <c r="Z100" i="47"/>
  <c r="Z33" i="47"/>
  <c r="Z103" i="47"/>
  <c r="Z30" i="47"/>
  <c r="Z105" i="47"/>
  <c r="Z109" i="47"/>
  <c r="Z110" i="47"/>
  <c r="Z111" i="47"/>
  <c r="Z112" i="47"/>
  <c r="Z27" i="47"/>
  <c r="Z26" i="47"/>
  <c r="Z24" i="47"/>
  <c r="Z23" i="47"/>
  <c r="Z117" i="47"/>
  <c r="Z118" i="47"/>
  <c r="Z119" i="47"/>
  <c r="Z120" i="47"/>
  <c r="Z20" i="47"/>
  <c r="Z18" i="47"/>
  <c r="Z123" i="47"/>
  <c r="Z13" i="47"/>
  <c r="Z125" i="47"/>
  <c r="Z7" i="47"/>
  <c r="Z6" i="47"/>
  <c r="Z5" i="47"/>
  <c r="Z130" i="47"/>
  <c r="Z40" i="47"/>
  <c r="Z21" i="47"/>
  <c r="Z129" i="47"/>
  <c r="Z102" i="47"/>
  <c r="Z64" i="47"/>
  <c r="Z12" i="47"/>
  <c r="Z29" i="47"/>
  <c r="Z75" i="47"/>
  <c r="Z107" i="47"/>
  <c r="Z22" i="47"/>
  <c r="Z50" i="47"/>
  <c r="Y128" i="47"/>
  <c r="Y127" i="47"/>
  <c r="Y126" i="47"/>
  <c r="Y8" i="47"/>
  <c r="Y9" i="47"/>
  <c r="Y10" i="47"/>
  <c r="Y11" i="47"/>
  <c r="Y124" i="47"/>
  <c r="Y14" i="47"/>
  <c r="Y15" i="47"/>
  <c r="Y16" i="47"/>
  <c r="Y17" i="47"/>
  <c r="Y122" i="47"/>
  <c r="Y19" i="47"/>
  <c r="Y121" i="47"/>
  <c r="Y116" i="47"/>
  <c r="Y115" i="47"/>
  <c r="Y25" i="47"/>
  <c r="Y114" i="47"/>
  <c r="Y113" i="47"/>
  <c r="Y106" i="47"/>
  <c r="Y104" i="47"/>
  <c r="Y31" i="47"/>
  <c r="Y32" i="47"/>
  <c r="Y101" i="47"/>
  <c r="Y34" i="47"/>
  <c r="Y95" i="47"/>
  <c r="Y89" i="47"/>
  <c r="Y37" i="47"/>
  <c r="Y38" i="47"/>
  <c r="Y39" i="47"/>
  <c r="Y41" i="47"/>
  <c r="Y42" i="47"/>
  <c r="Y43" i="47"/>
  <c r="Y44" i="47"/>
  <c r="Y88" i="47"/>
  <c r="Y46" i="47"/>
  <c r="Y47" i="47"/>
  <c r="Y48" i="47"/>
  <c r="Y78" i="47"/>
  <c r="Y51" i="47"/>
  <c r="Y52" i="47"/>
  <c r="Y53" i="47"/>
  <c r="Y54" i="47"/>
  <c r="Y55" i="47"/>
  <c r="Y76" i="47"/>
  <c r="Y74" i="47"/>
  <c r="Y58" i="47"/>
  <c r="Y59" i="47"/>
  <c r="Y69" i="47"/>
  <c r="Y68" i="47"/>
  <c r="Y62" i="47"/>
  <c r="Y65" i="47"/>
  <c r="Y66" i="47"/>
  <c r="Y63" i="47"/>
  <c r="Y67" i="47"/>
  <c r="Y61" i="47"/>
  <c r="Y60" i="47"/>
  <c r="Y70" i="47"/>
  <c r="Y71" i="47"/>
  <c r="Y72" i="47"/>
  <c r="Y73" i="47"/>
  <c r="Y57" i="47"/>
  <c r="Y56" i="47"/>
  <c r="Y77" i="47"/>
  <c r="Y49" i="47"/>
  <c r="Y79" i="47"/>
  <c r="Y80" i="47"/>
  <c r="Y81" i="47"/>
  <c r="Y82" i="47"/>
  <c r="Y83" i="47"/>
  <c r="Y84" i="47"/>
  <c r="Y85" i="47"/>
  <c r="Y86" i="47"/>
  <c r="Y87" i="47"/>
  <c r="Y45" i="47"/>
  <c r="Y36" i="47"/>
  <c r="Y90" i="47"/>
  <c r="Y91" i="47"/>
  <c r="Y92" i="47"/>
  <c r="Y93" i="47"/>
  <c r="Y94" i="47"/>
  <c r="Y35" i="47"/>
  <c r="Y96" i="47"/>
  <c r="Y97" i="47"/>
  <c r="Y98" i="47"/>
  <c r="Y99" i="47"/>
  <c r="Y100" i="47"/>
  <c r="Y33" i="47"/>
  <c r="Y103" i="47"/>
  <c r="Y30" i="47"/>
  <c r="Y105" i="47"/>
  <c r="Y109" i="47"/>
  <c r="Y110" i="47"/>
  <c r="Y111" i="47"/>
  <c r="Y112" i="47"/>
  <c r="Y27" i="47"/>
  <c r="Y26" i="47"/>
  <c r="Y24" i="47"/>
  <c r="Y23" i="47"/>
  <c r="Y117" i="47"/>
  <c r="Y118" i="47"/>
  <c r="Y119" i="47"/>
  <c r="Y120" i="47"/>
  <c r="Y20" i="47"/>
  <c r="Y18" i="47"/>
  <c r="Y123" i="47"/>
  <c r="Y13" i="47"/>
  <c r="Y125" i="47"/>
  <c r="Y7" i="47"/>
  <c r="Y6" i="47"/>
  <c r="Y5" i="47"/>
  <c r="Y130" i="47"/>
  <c r="Y40" i="47"/>
  <c r="Y21" i="47"/>
  <c r="Y129" i="47"/>
  <c r="Y102" i="47"/>
  <c r="Y64" i="47"/>
  <c r="Y12" i="47"/>
  <c r="Y29" i="47"/>
  <c r="Y75" i="47"/>
  <c r="Y107" i="47"/>
  <c r="Y22" i="47"/>
  <c r="Y50" i="47"/>
  <c r="X128" i="47"/>
  <c r="X127" i="47"/>
  <c r="X126" i="47"/>
  <c r="X8" i="47"/>
  <c r="X9" i="47"/>
  <c r="X10" i="47"/>
  <c r="X11" i="47"/>
  <c r="X124" i="47"/>
  <c r="X14" i="47"/>
  <c r="X15" i="47"/>
  <c r="X16" i="47"/>
  <c r="X17" i="47"/>
  <c r="X122" i="47"/>
  <c r="X19" i="47"/>
  <c r="X121" i="47"/>
  <c r="X116" i="47"/>
  <c r="X115" i="47"/>
  <c r="X25" i="47"/>
  <c r="X114" i="47"/>
  <c r="X113" i="47"/>
  <c r="X106" i="47"/>
  <c r="X104" i="47"/>
  <c r="X31" i="47"/>
  <c r="X32" i="47"/>
  <c r="X101" i="47"/>
  <c r="X34" i="47"/>
  <c r="X95" i="47"/>
  <c r="X89" i="47"/>
  <c r="X37" i="47"/>
  <c r="X38" i="47"/>
  <c r="X39" i="47"/>
  <c r="X41" i="47"/>
  <c r="X42" i="47"/>
  <c r="X43" i="47"/>
  <c r="X44" i="47"/>
  <c r="X88" i="47"/>
  <c r="X46" i="47"/>
  <c r="X47" i="47"/>
  <c r="X48" i="47"/>
  <c r="X78" i="47"/>
  <c r="X51" i="47"/>
  <c r="X52" i="47"/>
  <c r="X53" i="47"/>
  <c r="X54" i="47"/>
  <c r="X55" i="47"/>
  <c r="X76" i="47"/>
  <c r="X74" i="47"/>
  <c r="X58" i="47"/>
  <c r="X59" i="47"/>
  <c r="X69" i="47"/>
  <c r="X68" i="47"/>
  <c r="X62" i="47"/>
  <c r="X65" i="47"/>
  <c r="X66" i="47"/>
  <c r="X63" i="47"/>
  <c r="X67" i="47"/>
  <c r="X61" i="47"/>
  <c r="X60" i="47"/>
  <c r="X70" i="47"/>
  <c r="X71" i="47"/>
  <c r="X72" i="47"/>
  <c r="X73" i="47"/>
  <c r="X57" i="47"/>
  <c r="X56" i="47"/>
  <c r="X77" i="47"/>
  <c r="X49" i="47"/>
  <c r="X79" i="47"/>
  <c r="X80" i="47"/>
  <c r="X81" i="47"/>
  <c r="X82" i="47"/>
  <c r="X83" i="47"/>
  <c r="X84" i="47"/>
  <c r="X85" i="47"/>
  <c r="X86" i="47"/>
  <c r="X87" i="47"/>
  <c r="X45" i="47"/>
  <c r="X36" i="47"/>
  <c r="X90" i="47"/>
  <c r="X91" i="47"/>
  <c r="X92" i="47"/>
  <c r="X93" i="47"/>
  <c r="X94" i="47"/>
  <c r="X35" i="47"/>
  <c r="X96" i="47"/>
  <c r="X97" i="47"/>
  <c r="X98" i="47"/>
  <c r="X99" i="47"/>
  <c r="X100" i="47"/>
  <c r="X33" i="47"/>
  <c r="X103" i="47"/>
  <c r="X30" i="47"/>
  <c r="X105" i="47"/>
  <c r="X109" i="47"/>
  <c r="X110" i="47"/>
  <c r="X111" i="47"/>
  <c r="X112" i="47"/>
  <c r="X27" i="47"/>
  <c r="X26" i="47"/>
  <c r="X24" i="47"/>
  <c r="X23" i="47"/>
  <c r="X117" i="47"/>
  <c r="X118" i="47"/>
  <c r="X119" i="47"/>
  <c r="X120" i="47"/>
  <c r="X20" i="47"/>
  <c r="X18" i="47"/>
  <c r="X123" i="47"/>
  <c r="X13" i="47"/>
  <c r="X125" i="47"/>
  <c r="X7" i="47"/>
  <c r="X6" i="47"/>
  <c r="X5" i="47"/>
  <c r="X130" i="47"/>
  <c r="X40" i="47"/>
  <c r="X21" i="47"/>
  <c r="X129" i="47"/>
  <c r="X102" i="47"/>
  <c r="X64" i="47"/>
  <c r="X12" i="47"/>
  <c r="X29" i="47"/>
  <c r="X75" i="47"/>
  <c r="X107" i="47"/>
  <c r="X22" i="47"/>
  <c r="X50" i="47"/>
  <c r="D5" i="48"/>
  <c r="E5" i="48"/>
  <c r="E147" i="48"/>
  <c r="E3" i="48"/>
  <c r="E6" i="48"/>
  <c r="E2" i="48"/>
  <c r="D3" i="48"/>
  <c r="D4" i="48"/>
  <c r="D6" i="48"/>
  <c r="D7" i="48"/>
  <c r="D8" i="48"/>
  <c r="D9" i="48"/>
  <c r="D10" i="48"/>
  <c r="D11" i="48"/>
  <c r="D12" i="48"/>
  <c r="D13" i="48"/>
  <c r="D14" i="48"/>
  <c r="D15" i="48"/>
  <c r="D16" i="48"/>
  <c r="D17" i="48"/>
  <c r="D18" i="48"/>
  <c r="D19" i="48"/>
  <c r="D20" i="48"/>
  <c r="D21" i="48"/>
  <c r="D22" i="48"/>
  <c r="D23" i="48"/>
  <c r="D24" i="48"/>
  <c r="D25" i="48"/>
  <c r="D26" i="48"/>
  <c r="D27" i="48"/>
  <c r="D28" i="48"/>
  <c r="D29" i="48"/>
  <c r="D30" i="48"/>
  <c r="D31" i="48"/>
  <c r="D32" i="48"/>
  <c r="D33" i="48"/>
  <c r="D34" i="48"/>
  <c r="D35" i="48"/>
  <c r="D36" i="48"/>
  <c r="D37" i="48"/>
  <c r="D38" i="48"/>
  <c r="D39" i="48"/>
  <c r="D40" i="48"/>
  <c r="D41" i="48"/>
  <c r="D42" i="48"/>
  <c r="D43" i="48"/>
  <c r="D44" i="48"/>
  <c r="D45" i="48"/>
  <c r="D46" i="48"/>
  <c r="D47" i="48"/>
  <c r="D48" i="48"/>
  <c r="D49" i="48"/>
  <c r="D50" i="48"/>
  <c r="D51" i="48"/>
  <c r="D52" i="48"/>
  <c r="D53" i="48"/>
  <c r="D54" i="48"/>
  <c r="D55" i="48"/>
  <c r="D56" i="48"/>
  <c r="D57" i="48"/>
  <c r="D58" i="48"/>
  <c r="D59" i="48"/>
  <c r="D60" i="48"/>
  <c r="D61" i="48"/>
  <c r="D62" i="48"/>
  <c r="D63" i="48"/>
  <c r="D64" i="48"/>
  <c r="D65" i="48"/>
  <c r="D66" i="48"/>
  <c r="D67" i="48"/>
  <c r="D68" i="48"/>
  <c r="D69" i="48"/>
  <c r="D70" i="48"/>
  <c r="D71" i="48"/>
  <c r="D72" i="48"/>
  <c r="D73" i="48"/>
  <c r="D74" i="48"/>
  <c r="D75" i="48"/>
  <c r="D76" i="48"/>
  <c r="D77" i="48"/>
  <c r="D78" i="48"/>
  <c r="D79" i="48"/>
  <c r="D80" i="48"/>
  <c r="D81" i="48"/>
  <c r="D82" i="48"/>
  <c r="D83" i="48"/>
  <c r="D84" i="48"/>
  <c r="D85" i="48"/>
  <c r="D86" i="48"/>
  <c r="D87" i="48"/>
  <c r="D88" i="48"/>
  <c r="D89" i="48"/>
  <c r="D90" i="48"/>
  <c r="D91" i="48"/>
  <c r="D92" i="48"/>
  <c r="D93" i="48"/>
  <c r="D94" i="48"/>
  <c r="D95" i="48"/>
  <c r="D96" i="48"/>
  <c r="D97" i="48"/>
  <c r="D98" i="48"/>
  <c r="D99" i="48"/>
  <c r="D100" i="48"/>
  <c r="D101" i="48"/>
  <c r="D102" i="48"/>
  <c r="D103" i="48"/>
  <c r="D104" i="48"/>
  <c r="D105" i="48"/>
  <c r="D106" i="48"/>
  <c r="D107" i="48"/>
  <c r="D108" i="48"/>
  <c r="D109" i="48"/>
  <c r="D110" i="48"/>
  <c r="D111" i="48"/>
  <c r="D112" i="48"/>
  <c r="D113" i="48"/>
  <c r="D114" i="48"/>
  <c r="D115" i="48"/>
  <c r="D116" i="48"/>
  <c r="D117" i="48"/>
  <c r="D118" i="48"/>
  <c r="D119" i="48"/>
  <c r="D120" i="48"/>
  <c r="D121" i="48"/>
  <c r="D122" i="48"/>
  <c r="D123" i="48"/>
  <c r="D124" i="48"/>
  <c r="D125" i="48"/>
  <c r="D126" i="48"/>
  <c r="D127" i="48"/>
  <c r="D128" i="48"/>
  <c r="D129" i="48"/>
  <c r="D130" i="48"/>
  <c r="D131" i="48"/>
  <c r="D132" i="48"/>
  <c r="D133" i="48"/>
  <c r="D134" i="48"/>
  <c r="D135" i="48"/>
  <c r="D136" i="48"/>
  <c r="D137" i="48"/>
  <c r="D138" i="48"/>
  <c r="D139" i="48"/>
  <c r="D140" i="48"/>
  <c r="D141" i="48"/>
  <c r="D142" i="48"/>
  <c r="D143" i="48"/>
  <c r="D144" i="48"/>
  <c r="D145" i="48"/>
  <c r="D146" i="48"/>
  <c r="D147" i="48"/>
  <c r="D148" i="48"/>
  <c r="D149" i="48"/>
  <c r="D150" i="48"/>
  <c r="D151" i="48"/>
  <c r="D152" i="48"/>
  <c r="D153" i="48"/>
  <c r="D154" i="48"/>
  <c r="D155" i="48"/>
  <c r="D156" i="48"/>
  <c r="D157" i="48"/>
  <c r="D158" i="48"/>
  <c r="D159" i="48"/>
  <c r="D160" i="48"/>
  <c r="D161" i="48"/>
  <c r="D162" i="48"/>
  <c r="D163" i="48"/>
  <c r="D164" i="48"/>
  <c r="D165" i="48"/>
  <c r="D166" i="48"/>
  <c r="D167" i="48"/>
  <c r="D168" i="48"/>
  <c r="D169" i="48"/>
  <c r="D170" i="48"/>
  <c r="D171" i="48"/>
  <c r="D172" i="48"/>
  <c r="D173" i="48"/>
  <c r="D174" i="48"/>
  <c r="D175" i="48"/>
  <c r="D176" i="48"/>
  <c r="D177" i="48"/>
  <c r="D178" i="48"/>
  <c r="D179" i="48"/>
  <c r="D180" i="48"/>
  <c r="D181" i="48"/>
  <c r="D182" i="48"/>
  <c r="D183" i="48"/>
  <c r="D184" i="48"/>
  <c r="D185" i="48"/>
  <c r="D186" i="48"/>
  <c r="D187" i="48"/>
  <c r="D188" i="48"/>
  <c r="D189" i="48"/>
  <c r="D190" i="48"/>
  <c r="D191" i="48"/>
  <c r="D192" i="48"/>
  <c r="D193" i="48"/>
  <c r="D194" i="48"/>
  <c r="D195" i="48"/>
  <c r="D196" i="48"/>
  <c r="D197" i="48"/>
  <c r="D198" i="48"/>
  <c r="D199" i="48"/>
  <c r="D200" i="48"/>
  <c r="D201" i="48"/>
  <c r="D202" i="48"/>
  <c r="D203" i="48"/>
  <c r="D204" i="48"/>
  <c r="D205" i="48"/>
  <c r="D206" i="48"/>
  <c r="D207" i="48"/>
  <c r="D208" i="48"/>
  <c r="D209" i="48"/>
  <c r="D210" i="48"/>
  <c r="D211" i="48"/>
  <c r="D212" i="48"/>
  <c r="D213" i="48"/>
  <c r="D214" i="48"/>
  <c r="D215" i="48"/>
  <c r="D216" i="48"/>
  <c r="D217" i="48"/>
  <c r="D218" i="48"/>
  <c r="D219" i="48"/>
  <c r="D220" i="48"/>
  <c r="D221" i="48"/>
  <c r="D222" i="48"/>
  <c r="D223" i="48"/>
  <c r="D224" i="48"/>
  <c r="D225" i="48"/>
  <c r="D226" i="48"/>
  <c r="D227" i="48"/>
  <c r="D228" i="48"/>
  <c r="D229" i="48"/>
  <c r="D230" i="48"/>
  <c r="D231" i="48"/>
  <c r="D232" i="48"/>
  <c r="D233" i="48"/>
  <c r="D234" i="48"/>
  <c r="D235" i="48"/>
  <c r="D236" i="48"/>
  <c r="D237" i="48"/>
  <c r="D238" i="48"/>
  <c r="D2" i="48"/>
  <c r="E4" i="48"/>
  <c r="E7" i="48"/>
  <c r="E8" i="48"/>
  <c r="E9" i="48"/>
  <c r="E10" i="48"/>
  <c r="E11" i="48"/>
  <c r="E12" i="48"/>
  <c r="E13" i="48"/>
  <c r="E14" i="48"/>
  <c r="E15" i="48"/>
  <c r="E16" i="48"/>
  <c r="E17" i="48"/>
  <c r="E18" i="48"/>
  <c r="E19" i="48"/>
  <c r="E20" i="48"/>
  <c r="E21" i="48"/>
  <c r="E22" i="48"/>
  <c r="E23" i="48"/>
  <c r="E24" i="48"/>
  <c r="E25" i="48"/>
  <c r="E26" i="48"/>
  <c r="E27" i="48"/>
  <c r="E28" i="48"/>
  <c r="E29" i="48"/>
  <c r="E30" i="48"/>
  <c r="E31" i="48"/>
  <c r="E32" i="48"/>
  <c r="E33" i="48"/>
  <c r="E34" i="48"/>
  <c r="E35" i="48"/>
  <c r="E36" i="48"/>
  <c r="E37" i="48"/>
  <c r="E38" i="48"/>
  <c r="E39" i="48"/>
  <c r="E40" i="48"/>
  <c r="E41" i="48"/>
  <c r="E42" i="48"/>
  <c r="E43" i="48"/>
  <c r="E44" i="48"/>
  <c r="E45" i="48"/>
  <c r="E46" i="48"/>
  <c r="E47" i="48"/>
  <c r="E48" i="48"/>
  <c r="E49" i="48"/>
  <c r="E50" i="48"/>
  <c r="E51" i="48"/>
  <c r="E52" i="48"/>
  <c r="E53" i="48"/>
  <c r="E54" i="48"/>
  <c r="E55" i="48"/>
  <c r="E56" i="48"/>
  <c r="E57" i="48"/>
  <c r="E58" i="48"/>
  <c r="E59" i="48"/>
  <c r="E60" i="48"/>
  <c r="E61" i="48"/>
  <c r="E62" i="48"/>
  <c r="E63" i="48"/>
  <c r="E64" i="48"/>
  <c r="E65" i="48"/>
  <c r="E66" i="48"/>
  <c r="E67" i="48"/>
  <c r="E68" i="48"/>
  <c r="E69" i="48"/>
  <c r="E70" i="48"/>
  <c r="E71" i="48"/>
  <c r="E72" i="48"/>
  <c r="E73" i="48"/>
  <c r="E74" i="48"/>
  <c r="E75" i="48"/>
  <c r="E76" i="48"/>
  <c r="E77" i="48"/>
  <c r="E78" i="48"/>
  <c r="E79" i="48"/>
  <c r="E80" i="48"/>
  <c r="E81" i="48"/>
  <c r="E82" i="48"/>
  <c r="E83" i="48"/>
  <c r="E84" i="48"/>
  <c r="E85" i="48"/>
  <c r="E86" i="48"/>
  <c r="E87" i="48"/>
  <c r="E88" i="48"/>
  <c r="E89" i="48"/>
  <c r="E90" i="48"/>
  <c r="E91" i="48"/>
  <c r="E92" i="48"/>
  <c r="E93" i="48"/>
  <c r="E94" i="48"/>
  <c r="E95" i="48"/>
  <c r="E96" i="48"/>
  <c r="E97" i="48"/>
  <c r="E98" i="48"/>
  <c r="E99" i="48"/>
  <c r="E100" i="48"/>
  <c r="E101" i="48"/>
  <c r="E102" i="48"/>
  <c r="E103" i="48"/>
  <c r="E104" i="48"/>
  <c r="E105" i="48"/>
  <c r="E106" i="48"/>
  <c r="E107" i="48"/>
  <c r="E108" i="48"/>
  <c r="E109" i="48"/>
  <c r="E110" i="48"/>
  <c r="E111" i="48"/>
  <c r="E112" i="48"/>
  <c r="E113" i="48"/>
  <c r="E114" i="48"/>
  <c r="E115" i="48"/>
  <c r="E116" i="48"/>
  <c r="E117" i="48"/>
  <c r="E118" i="48"/>
  <c r="E119" i="48"/>
  <c r="E120" i="48"/>
  <c r="E121" i="48"/>
  <c r="E122" i="48"/>
  <c r="E123" i="48"/>
  <c r="E124" i="48"/>
  <c r="E125" i="48"/>
  <c r="E126" i="48"/>
  <c r="E127" i="48"/>
  <c r="E128" i="48"/>
  <c r="E129" i="48"/>
  <c r="E130" i="48"/>
  <c r="E131" i="48"/>
  <c r="E132" i="48"/>
  <c r="E133" i="48"/>
  <c r="E134" i="48"/>
  <c r="E135" i="48"/>
  <c r="E136" i="48"/>
  <c r="E137" i="48"/>
  <c r="E138" i="48"/>
  <c r="E139" i="48"/>
  <c r="E140" i="48"/>
  <c r="E141" i="48"/>
  <c r="E142" i="48"/>
  <c r="E143" i="48"/>
  <c r="E144" i="48"/>
  <c r="E145" i="48"/>
  <c r="E146" i="48"/>
  <c r="E148" i="48"/>
  <c r="E149" i="48"/>
  <c r="E150" i="48"/>
  <c r="E151" i="48"/>
  <c r="E152" i="48"/>
  <c r="E153" i="48"/>
  <c r="E154" i="48"/>
  <c r="E155" i="48"/>
  <c r="E156" i="48"/>
  <c r="E157" i="48"/>
  <c r="E158" i="48"/>
  <c r="E159" i="48"/>
  <c r="E160" i="48"/>
  <c r="E161" i="48"/>
  <c r="E162" i="48"/>
  <c r="E163" i="48"/>
  <c r="E164" i="48"/>
  <c r="E165" i="48"/>
  <c r="E166" i="48"/>
  <c r="E167" i="48"/>
  <c r="E168" i="48"/>
  <c r="E169" i="48"/>
  <c r="E170" i="48"/>
  <c r="E171" i="48"/>
  <c r="E172" i="48"/>
  <c r="E173" i="48"/>
  <c r="E174" i="48"/>
  <c r="E175" i="48"/>
  <c r="E176" i="48"/>
  <c r="E177" i="48"/>
  <c r="E178" i="48"/>
  <c r="E179" i="48"/>
  <c r="E180" i="48"/>
  <c r="E181" i="48"/>
  <c r="E182" i="48"/>
  <c r="E183" i="48"/>
  <c r="E184" i="48"/>
  <c r="E185" i="48"/>
  <c r="E186" i="48"/>
  <c r="E187" i="48"/>
  <c r="E188" i="48"/>
  <c r="E189" i="48"/>
  <c r="E190" i="48"/>
  <c r="E191" i="48"/>
  <c r="E192" i="48"/>
  <c r="E193" i="48"/>
  <c r="E194" i="48"/>
  <c r="E195" i="48"/>
  <c r="E196" i="48"/>
  <c r="E197" i="48"/>
  <c r="E198" i="48"/>
  <c r="E199" i="48"/>
  <c r="E200" i="48"/>
  <c r="E201" i="48"/>
  <c r="E202" i="48"/>
  <c r="E203" i="48"/>
  <c r="E204" i="48"/>
  <c r="E205" i="48"/>
  <c r="E206" i="48"/>
  <c r="E207" i="48"/>
  <c r="E208" i="48"/>
  <c r="E209" i="48"/>
  <c r="E210" i="48"/>
  <c r="E211" i="48"/>
  <c r="E212" i="48"/>
  <c r="E213" i="48"/>
  <c r="E214" i="48"/>
  <c r="E215" i="48"/>
  <c r="E216" i="48"/>
  <c r="E217" i="48"/>
  <c r="E218" i="48"/>
  <c r="E219" i="48"/>
  <c r="E220" i="48"/>
  <c r="E221" i="48"/>
  <c r="E222" i="48"/>
  <c r="E223" i="48"/>
  <c r="E224" i="48"/>
  <c r="E225" i="48"/>
  <c r="E226" i="48"/>
  <c r="E227" i="48"/>
  <c r="E228" i="48"/>
  <c r="E229" i="48"/>
  <c r="E230" i="48"/>
  <c r="E231" i="48"/>
  <c r="E232" i="48"/>
  <c r="E233" i="48"/>
  <c r="E234" i="48"/>
  <c r="E235" i="48"/>
  <c r="E236" i="48"/>
  <c r="E237" i="48"/>
  <c r="E238" i="48"/>
  <c r="E127" i="47"/>
  <c r="R127" i="47" s="1"/>
  <c r="E126" i="47"/>
  <c r="R126" i="47" s="1"/>
  <c r="E8" i="47"/>
  <c r="R8" i="47" s="1"/>
  <c r="E9" i="47"/>
  <c r="R9" i="47" s="1"/>
  <c r="E10" i="47"/>
  <c r="R10" i="47" s="1"/>
  <c r="E11" i="47"/>
  <c r="R11" i="47" s="1"/>
  <c r="E124" i="47"/>
  <c r="R124" i="47" s="1"/>
  <c r="E14" i="47"/>
  <c r="R14" i="47" s="1"/>
  <c r="E15" i="47"/>
  <c r="R15" i="47" s="1"/>
  <c r="E16" i="47"/>
  <c r="R16" i="47" s="1"/>
  <c r="E17" i="47"/>
  <c r="R17" i="47" s="1"/>
  <c r="E122" i="47"/>
  <c r="R122" i="47" s="1"/>
  <c r="E19" i="47"/>
  <c r="R19" i="47" s="1"/>
  <c r="E121" i="47"/>
  <c r="R121" i="47" s="1"/>
  <c r="E116" i="47"/>
  <c r="R116" i="47" s="1"/>
  <c r="E115" i="47"/>
  <c r="R115" i="47" s="1"/>
  <c r="E25" i="47"/>
  <c r="R25" i="47" s="1"/>
  <c r="E114" i="47"/>
  <c r="R114" i="47" s="1"/>
  <c r="E113" i="47"/>
  <c r="R113" i="47" s="1"/>
  <c r="E106" i="47"/>
  <c r="R106" i="47" s="1"/>
  <c r="E104" i="47"/>
  <c r="R104" i="47" s="1"/>
  <c r="E31" i="47"/>
  <c r="R31" i="47" s="1"/>
  <c r="E32" i="47"/>
  <c r="R32" i="47" s="1"/>
  <c r="R101" i="47"/>
  <c r="E34" i="47"/>
  <c r="R34" i="47" s="1"/>
  <c r="E95" i="47"/>
  <c r="R95" i="47" s="1"/>
  <c r="E89" i="47"/>
  <c r="R89" i="47" s="1"/>
  <c r="E37" i="47"/>
  <c r="R37" i="47" s="1"/>
  <c r="E38" i="47"/>
  <c r="R38" i="47" s="1"/>
  <c r="E39" i="47"/>
  <c r="R39" i="47" s="1"/>
  <c r="E41" i="47"/>
  <c r="R41" i="47" s="1"/>
  <c r="E42" i="47"/>
  <c r="R42" i="47" s="1"/>
  <c r="E43" i="47"/>
  <c r="R43" i="47" s="1"/>
  <c r="E44" i="47"/>
  <c r="R44" i="47" s="1"/>
  <c r="E88" i="47"/>
  <c r="R88" i="47" s="1"/>
  <c r="E46" i="47"/>
  <c r="R46" i="47" s="1"/>
  <c r="E47" i="47"/>
  <c r="R47" i="47" s="1"/>
  <c r="E48" i="47"/>
  <c r="R48" i="47" s="1"/>
  <c r="E78" i="47"/>
  <c r="R78" i="47" s="1"/>
  <c r="E51" i="47"/>
  <c r="R51" i="47" s="1"/>
  <c r="E52" i="47"/>
  <c r="R52" i="47" s="1"/>
  <c r="E53" i="47"/>
  <c r="R53" i="47" s="1"/>
  <c r="E54" i="47"/>
  <c r="R54" i="47" s="1"/>
  <c r="E55" i="47"/>
  <c r="R55" i="47" s="1"/>
  <c r="E76" i="47"/>
  <c r="R76" i="47" s="1"/>
  <c r="E74" i="47"/>
  <c r="R74" i="47" s="1"/>
  <c r="E58" i="47"/>
  <c r="R58" i="47" s="1"/>
  <c r="E59" i="47"/>
  <c r="R59" i="47" s="1"/>
  <c r="E69" i="47"/>
  <c r="R69" i="47" s="1"/>
  <c r="E68" i="47"/>
  <c r="R68" i="47" s="1"/>
  <c r="E62" i="47"/>
  <c r="R62" i="47" s="1"/>
  <c r="E65" i="47"/>
  <c r="R65" i="47" s="1"/>
  <c r="E66" i="47"/>
  <c r="R66" i="47" s="1"/>
  <c r="E63" i="47"/>
  <c r="R63" i="47" s="1"/>
  <c r="E67" i="47"/>
  <c r="R67" i="47" s="1"/>
  <c r="E61" i="47"/>
  <c r="R61" i="47" s="1"/>
  <c r="E60" i="47"/>
  <c r="R60" i="47" s="1"/>
  <c r="E70" i="47"/>
  <c r="R70" i="47" s="1"/>
  <c r="E71" i="47"/>
  <c r="R71" i="47" s="1"/>
  <c r="E72" i="47"/>
  <c r="R72" i="47" s="1"/>
  <c r="E73" i="47"/>
  <c r="R73" i="47" s="1"/>
  <c r="E57" i="47"/>
  <c r="R57" i="47" s="1"/>
  <c r="E56" i="47"/>
  <c r="R56" i="47" s="1"/>
  <c r="E77" i="47"/>
  <c r="R77" i="47" s="1"/>
  <c r="E49" i="47"/>
  <c r="R49" i="47" s="1"/>
  <c r="E79" i="47"/>
  <c r="R79" i="47" s="1"/>
  <c r="E80" i="47"/>
  <c r="R80" i="47" s="1"/>
  <c r="E81" i="47"/>
  <c r="R81" i="47" s="1"/>
  <c r="E82" i="47"/>
  <c r="R82" i="47" s="1"/>
  <c r="E83" i="47"/>
  <c r="R83" i="47" s="1"/>
  <c r="E84" i="47"/>
  <c r="R84" i="47" s="1"/>
  <c r="E85" i="47"/>
  <c r="R85" i="47" s="1"/>
  <c r="E86" i="47"/>
  <c r="R86" i="47" s="1"/>
  <c r="E87" i="47"/>
  <c r="R87" i="47" s="1"/>
  <c r="E45" i="47"/>
  <c r="R45" i="47" s="1"/>
  <c r="E36" i="47"/>
  <c r="R36" i="47" s="1"/>
  <c r="E90" i="47"/>
  <c r="R90" i="47" s="1"/>
  <c r="E91" i="47"/>
  <c r="R91" i="47" s="1"/>
  <c r="E92" i="47"/>
  <c r="R92" i="47" s="1"/>
  <c r="E93" i="47"/>
  <c r="R93" i="47" s="1"/>
  <c r="E94" i="47"/>
  <c r="R94" i="47" s="1"/>
  <c r="E96" i="47"/>
  <c r="R96" i="47" s="1"/>
  <c r="E97" i="47"/>
  <c r="R97" i="47" s="1"/>
  <c r="E98" i="47"/>
  <c r="R98" i="47" s="1"/>
  <c r="E99" i="47"/>
  <c r="R99" i="47" s="1"/>
  <c r="E100" i="47"/>
  <c r="R100" i="47" s="1"/>
  <c r="E33" i="47"/>
  <c r="R33" i="47" s="1"/>
  <c r="E103" i="47"/>
  <c r="R103" i="47" s="1"/>
  <c r="E30" i="47"/>
  <c r="R30" i="47" s="1"/>
  <c r="E105" i="47"/>
  <c r="R105" i="47" s="1"/>
  <c r="E109" i="47"/>
  <c r="R109" i="47" s="1"/>
  <c r="E110" i="47"/>
  <c r="R110" i="47" s="1"/>
  <c r="E111" i="47"/>
  <c r="R111" i="47" s="1"/>
  <c r="E112" i="47"/>
  <c r="R112" i="47" s="1"/>
  <c r="E27" i="47"/>
  <c r="R27" i="47" s="1"/>
  <c r="E26" i="47"/>
  <c r="R26" i="47" s="1"/>
  <c r="E24" i="47"/>
  <c r="R24" i="47" s="1"/>
  <c r="E23" i="47"/>
  <c r="R23" i="47" s="1"/>
  <c r="E117" i="47"/>
  <c r="R117" i="47" s="1"/>
  <c r="E118" i="47"/>
  <c r="R118" i="47" s="1"/>
  <c r="E119" i="47"/>
  <c r="R119" i="47" s="1"/>
  <c r="E120" i="47"/>
  <c r="R120" i="47" s="1"/>
  <c r="E20" i="47"/>
  <c r="R20" i="47" s="1"/>
  <c r="E18" i="47"/>
  <c r="R18" i="47" s="1"/>
  <c r="E123" i="47"/>
  <c r="R123" i="47" s="1"/>
  <c r="E13" i="47"/>
  <c r="R13" i="47" s="1"/>
  <c r="E125" i="47"/>
  <c r="R125" i="47" s="1"/>
  <c r="E7" i="47"/>
  <c r="R7" i="47" s="1"/>
  <c r="E6" i="47"/>
  <c r="R6" i="47" s="1"/>
  <c r="E5" i="47"/>
  <c r="R5" i="47" s="1"/>
  <c r="E130" i="47"/>
  <c r="R130" i="47" s="1"/>
  <c r="E40" i="47"/>
  <c r="R40" i="47" s="1"/>
  <c r="E21" i="47"/>
  <c r="R21" i="47" s="1"/>
  <c r="E129" i="47"/>
  <c r="R129" i="47" s="1"/>
  <c r="E102" i="47"/>
  <c r="R102" i="47" s="1"/>
  <c r="E64" i="47"/>
  <c r="R64" i="47" s="1"/>
  <c r="E12" i="47"/>
  <c r="R12" i="47" s="1"/>
  <c r="E29" i="47"/>
  <c r="R29" i="47" s="1"/>
  <c r="E75" i="47"/>
  <c r="R75" i="47" s="1"/>
  <c r="E107" i="47"/>
  <c r="R107" i="47" s="1"/>
  <c r="E22" i="47"/>
  <c r="R22" i="47" s="1"/>
  <c r="E128" i="47"/>
  <c r="R128" i="47" s="1"/>
  <c r="A2" i="47"/>
  <c r="M3" i="48"/>
  <c r="M19" i="48"/>
  <c r="M20" i="48"/>
  <c r="M25" i="48"/>
  <c r="M68" i="48"/>
  <c r="M69" i="48"/>
  <c r="M70" i="48"/>
  <c r="M92" i="48"/>
  <c r="M128" i="48"/>
  <c r="M131" i="48"/>
  <c r="M144" i="48"/>
  <c r="M155" i="48"/>
  <c r="M156" i="48"/>
  <c r="M157" i="48"/>
  <c r="M158" i="48"/>
  <c r="M159" i="48"/>
  <c r="M160" i="48"/>
  <c r="M161" i="48"/>
  <c r="M162" i="48"/>
  <c r="M163" i="48"/>
  <c r="M164" i="48"/>
  <c r="M165" i="48"/>
  <c r="M166" i="48"/>
  <c r="M167" i="48"/>
  <c r="M168" i="48"/>
  <c r="M169" i="48"/>
  <c r="M170" i="48"/>
  <c r="M171" i="48"/>
  <c r="M172" i="48"/>
  <c r="M173" i="48"/>
  <c r="M174" i="48"/>
  <c r="M175" i="48"/>
  <c r="M176" i="48"/>
  <c r="M177" i="48"/>
  <c r="M178" i="48"/>
  <c r="M179" i="48"/>
  <c r="M180" i="48"/>
  <c r="M181" i="48"/>
  <c r="M182" i="48"/>
  <c r="M183" i="48"/>
  <c r="M184" i="48"/>
  <c r="M185" i="48"/>
  <c r="M186" i="48"/>
  <c r="M187" i="48"/>
  <c r="M188" i="48"/>
  <c r="M189" i="48"/>
  <c r="M190" i="48"/>
  <c r="M191" i="48"/>
  <c r="M192" i="48"/>
  <c r="M193" i="48"/>
  <c r="M194" i="48"/>
  <c r="M195" i="48"/>
  <c r="M196" i="48"/>
  <c r="M197" i="48"/>
  <c r="M198" i="48"/>
  <c r="M199" i="48"/>
  <c r="M200" i="48"/>
  <c r="M201" i="48"/>
  <c r="M202" i="48"/>
  <c r="M203" i="48"/>
  <c r="M204" i="48"/>
  <c r="M205" i="48"/>
  <c r="M206" i="48"/>
  <c r="M207" i="48"/>
  <c r="M208" i="48"/>
  <c r="M209" i="48"/>
  <c r="M210" i="48"/>
  <c r="M211" i="48"/>
  <c r="M212" i="48"/>
  <c r="M213" i="48"/>
  <c r="M214" i="48"/>
  <c r="M215" i="48"/>
  <c r="M216" i="48"/>
  <c r="M217" i="48"/>
  <c r="M218" i="48"/>
  <c r="M219" i="48"/>
  <c r="M220" i="48"/>
  <c r="M221" i="48"/>
  <c r="M222" i="48"/>
  <c r="M223" i="48"/>
  <c r="M224" i="48"/>
  <c r="M225" i="48"/>
  <c r="M226" i="48"/>
  <c r="M227" i="48"/>
  <c r="M228" i="48"/>
  <c r="M229" i="48"/>
  <c r="M230" i="48"/>
  <c r="M231" i="48"/>
  <c r="M232" i="48"/>
  <c r="M233" i="48"/>
  <c r="M234" i="48"/>
  <c r="M235" i="48"/>
  <c r="M236" i="48"/>
  <c r="M237" i="48"/>
  <c r="M238" i="48"/>
  <c r="K3" i="48"/>
  <c r="K19" i="48"/>
  <c r="K20" i="48"/>
  <c r="K25" i="48"/>
  <c r="K68" i="48"/>
  <c r="K69" i="48"/>
  <c r="K70" i="48"/>
  <c r="K92" i="48"/>
  <c r="K128" i="48"/>
  <c r="K131" i="48"/>
  <c r="K144" i="48"/>
  <c r="K155" i="48"/>
  <c r="K156" i="48"/>
  <c r="K157" i="48"/>
  <c r="K158" i="48"/>
  <c r="K159" i="48"/>
  <c r="K160" i="48"/>
  <c r="K161" i="48"/>
  <c r="K162" i="48"/>
  <c r="K163" i="48"/>
  <c r="K164" i="48"/>
  <c r="K165" i="48"/>
  <c r="K166" i="48"/>
  <c r="K167" i="48"/>
  <c r="K168" i="48"/>
  <c r="K169" i="48"/>
  <c r="K170" i="48"/>
  <c r="K171" i="48"/>
  <c r="K172" i="48"/>
  <c r="K173" i="48"/>
  <c r="K174" i="48"/>
  <c r="K175" i="48"/>
  <c r="K176" i="48"/>
  <c r="K177" i="48"/>
  <c r="K178" i="48"/>
  <c r="K179" i="48"/>
  <c r="K180" i="48"/>
  <c r="K181" i="48"/>
  <c r="K182" i="48"/>
  <c r="K183" i="48"/>
  <c r="K184" i="48"/>
  <c r="K185" i="48"/>
  <c r="K186" i="48"/>
  <c r="K187" i="48"/>
  <c r="K188" i="48"/>
  <c r="K189" i="48"/>
  <c r="K190" i="48"/>
  <c r="K191" i="48"/>
  <c r="K192" i="48"/>
  <c r="K193" i="48"/>
  <c r="K194" i="48"/>
  <c r="K195" i="48"/>
  <c r="K196" i="48"/>
  <c r="K197" i="48"/>
  <c r="K198" i="48"/>
  <c r="K199" i="48"/>
  <c r="K200" i="48"/>
  <c r="K201" i="48"/>
  <c r="K202" i="48"/>
  <c r="K203" i="48"/>
  <c r="K204" i="48"/>
  <c r="K205" i="48"/>
  <c r="K206" i="48"/>
  <c r="K207" i="48"/>
  <c r="K208" i="48"/>
  <c r="K209" i="48"/>
  <c r="K210" i="48"/>
  <c r="K211" i="48"/>
  <c r="K212" i="48"/>
  <c r="K213" i="48"/>
  <c r="K214" i="48"/>
  <c r="K215" i="48"/>
  <c r="K216" i="48"/>
  <c r="K217" i="48"/>
  <c r="K218" i="48"/>
  <c r="K219" i="48"/>
  <c r="K220" i="48"/>
  <c r="K221" i="48"/>
  <c r="K222" i="48"/>
  <c r="K223" i="48"/>
  <c r="K224" i="48"/>
  <c r="K225" i="48"/>
  <c r="K226" i="48"/>
  <c r="K227" i="48"/>
  <c r="K228" i="48"/>
  <c r="K229" i="48"/>
  <c r="K230" i="48"/>
  <c r="K231" i="48"/>
  <c r="K232" i="48"/>
  <c r="K233" i="48"/>
  <c r="K234" i="48"/>
  <c r="K235" i="48"/>
  <c r="K236" i="48"/>
  <c r="K237" i="48"/>
  <c r="K238" i="48"/>
  <c r="I3" i="48"/>
  <c r="I19" i="48"/>
  <c r="I20" i="48"/>
  <c r="I25" i="48"/>
  <c r="I68" i="48"/>
  <c r="I69" i="48"/>
  <c r="I70" i="48"/>
  <c r="I92" i="48"/>
  <c r="I128" i="48"/>
  <c r="I131" i="48"/>
  <c r="I144" i="48"/>
  <c r="I155" i="48"/>
  <c r="I156" i="48"/>
  <c r="I157" i="48"/>
  <c r="I158" i="48"/>
  <c r="I159" i="48"/>
  <c r="I160" i="48"/>
  <c r="I161" i="48"/>
  <c r="I162" i="48"/>
  <c r="I163" i="48"/>
  <c r="I164" i="48"/>
  <c r="I165" i="48"/>
  <c r="I166" i="48"/>
  <c r="I167" i="48"/>
  <c r="I168" i="48"/>
  <c r="I169" i="48"/>
  <c r="I170" i="48"/>
  <c r="I171" i="48"/>
  <c r="I172" i="48"/>
  <c r="I173" i="48"/>
  <c r="I174" i="48"/>
  <c r="I175" i="48"/>
  <c r="I176" i="48"/>
  <c r="I177" i="48"/>
  <c r="I178" i="48"/>
  <c r="I179" i="48"/>
  <c r="I180" i="48"/>
  <c r="I181" i="48"/>
  <c r="I182" i="48"/>
  <c r="I183" i="48"/>
  <c r="I184" i="48"/>
  <c r="I185" i="48"/>
  <c r="I186" i="48"/>
  <c r="I187" i="48"/>
  <c r="I188" i="48"/>
  <c r="I189" i="48"/>
  <c r="I190" i="48"/>
  <c r="I191" i="48"/>
  <c r="I192" i="48"/>
  <c r="I193" i="48"/>
  <c r="I194" i="48"/>
  <c r="I195" i="48"/>
  <c r="I196" i="48"/>
  <c r="I197" i="48"/>
  <c r="I198" i="48"/>
  <c r="I199" i="48"/>
  <c r="I200" i="48"/>
  <c r="I201" i="48"/>
  <c r="I202" i="48"/>
  <c r="I203" i="48"/>
  <c r="I204" i="48"/>
  <c r="I205" i="48"/>
  <c r="I206" i="48"/>
  <c r="I207" i="48"/>
  <c r="I208" i="48"/>
  <c r="I209" i="48"/>
  <c r="I210" i="48"/>
  <c r="I211" i="48"/>
  <c r="I212" i="48"/>
  <c r="I213" i="48"/>
  <c r="I214" i="48"/>
  <c r="I215" i="48"/>
  <c r="I216" i="48"/>
  <c r="I217" i="48"/>
  <c r="I218" i="48"/>
  <c r="I219" i="48"/>
  <c r="I220" i="48"/>
  <c r="I221" i="48"/>
  <c r="I222" i="48"/>
  <c r="I223" i="48"/>
  <c r="I224" i="48"/>
  <c r="I225" i="48"/>
  <c r="I226" i="48"/>
  <c r="I227" i="48"/>
  <c r="I228" i="48"/>
  <c r="I229" i="48"/>
  <c r="I230" i="48"/>
  <c r="I231" i="48"/>
  <c r="I232" i="48"/>
  <c r="I233" i="48"/>
  <c r="I234" i="48"/>
  <c r="I235" i="48"/>
  <c r="I236" i="48"/>
  <c r="I237" i="48"/>
  <c r="I238" i="48"/>
  <c r="G3" i="48"/>
  <c r="G19" i="48"/>
  <c r="G20" i="48"/>
  <c r="G25" i="48"/>
  <c r="G68" i="48"/>
  <c r="G69" i="48"/>
  <c r="G70" i="48"/>
  <c r="G92" i="48"/>
  <c r="G128" i="48"/>
  <c r="G131" i="48"/>
  <c r="G144" i="48"/>
  <c r="G153" i="48"/>
  <c r="G154" i="48"/>
  <c r="G155" i="48"/>
  <c r="G156" i="48"/>
  <c r="G157" i="48"/>
  <c r="G158" i="48"/>
  <c r="G159" i="48"/>
  <c r="G160" i="48"/>
  <c r="G161" i="48"/>
  <c r="G162" i="48"/>
  <c r="G163" i="48"/>
  <c r="G164" i="48"/>
  <c r="G165" i="48"/>
  <c r="G166" i="48"/>
  <c r="G167" i="48"/>
  <c r="G168" i="48"/>
  <c r="G169" i="48"/>
  <c r="G170" i="48"/>
  <c r="G171" i="48"/>
  <c r="G172" i="48"/>
  <c r="G173" i="48"/>
  <c r="G174" i="48"/>
  <c r="G175" i="48"/>
  <c r="G176" i="48"/>
  <c r="G177" i="48"/>
  <c r="G178" i="48"/>
  <c r="G179" i="48"/>
  <c r="G180" i="48"/>
  <c r="G181" i="48"/>
  <c r="G182" i="48"/>
  <c r="G183" i="48"/>
  <c r="G184" i="48"/>
  <c r="G185" i="48"/>
  <c r="G186" i="48"/>
  <c r="G187" i="48"/>
  <c r="G188" i="48"/>
  <c r="G189" i="48"/>
  <c r="G190" i="48"/>
  <c r="G191" i="48"/>
  <c r="G192" i="48"/>
  <c r="G193" i="48"/>
  <c r="G194" i="48"/>
  <c r="G195" i="48"/>
  <c r="G196" i="48"/>
  <c r="G197" i="48"/>
  <c r="G198" i="48"/>
  <c r="G199" i="48"/>
  <c r="G200" i="48"/>
  <c r="G201" i="48"/>
  <c r="G202" i="48"/>
  <c r="G203" i="48"/>
  <c r="G204" i="48"/>
  <c r="G205" i="48"/>
  <c r="G206" i="48"/>
  <c r="G207" i="48"/>
  <c r="G208" i="48"/>
  <c r="G209" i="48"/>
  <c r="G210" i="48"/>
  <c r="G211" i="48"/>
  <c r="G212" i="48"/>
  <c r="G213" i="48"/>
  <c r="G214" i="48"/>
  <c r="G215" i="48"/>
  <c r="G216" i="48"/>
  <c r="G217" i="48"/>
  <c r="G218" i="48"/>
  <c r="G219" i="48"/>
  <c r="G220" i="48"/>
  <c r="G221" i="48"/>
  <c r="G222" i="48"/>
  <c r="G223" i="48"/>
  <c r="G224" i="48"/>
  <c r="G225" i="48"/>
  <c r="G226" i="48"/>
  <c r="G227" i="48"/>
  <c r="G228" i="48"/>
  <c r="G229" i="48"/>
  <c r="G230" i="48"/>
  <c r="G231" i="48"/>
  <c r="G232" i="48"/>
  <c r="G233" i="48"/>
  <c r="G234" i="48"/>
  <c r="G235" i="48"/>
  <c r="G236" i="48"/>
  <c r="G237" i="48"/>
  <c r="G238" i="48"/>
  <c r="G10" i="48"/>
  <c r="I10" i="48"/>
  <c r="M10" i="48"/>
  <c r="G17" i="48"/>
  <c r="I17" i="48"/>
  <c r="G50" i="48"/>
  <c r="G80" i="48"/>
  <c r="G108" i="48"/>
  <c r="G124" i="48"/>
  <c r="I50" i="48"/>
  <c r="I80" i="48"/>
  <c r="I108" i="48"/>
  <c r="I124" i="48"/>
  <c r="B3" i="48"/>
  <c r="B10" i="48"/>
  <c r="B14" i="48"/>
  <c r="B17" i="48"/>
  <c r="B19" i="48"/>
  <c r="B20" i="48"/>
  <c r="B25" i="48"/>
  <c r="B28" i="48"/>
  <c r="B32" i="48"/>
  <c r="B34" i="48"/>
  <c r="B38" i="48"/>
  <c r="B50" i="48"/>
  <c r="B54" i="48"/>
  <c r="B60" i="48"/>
  <c r="B68" i="48"/>
  <c r="B69" i="48"/>
  <c r="B70" i="48"/>
  <c r="B72" i="48"/>
  <c r="B74" i="48"/>
  <c r="B76" i="48"/>
  <c r="B78" i="48"/>
  <c r="B79" i="48"/>
  <c r="B80" i="48"/>
  <c r="B82" i="48"/>
  <c r="B90" i="48"/>
  <c r="B92" i="48"/>
  <c r="B93" i="48"/>
  <c r="B95" i="48"/>
  <c r="B97" i="48"/>
  <c r="B104" i="48"/>
  <c r="B106" i="48"/>
  <c r="B107" i="48"/>
  <c r="B108" i="48"/>
  <c r="B110" i="48"/>
  <c r="B113" i="48"/>
  <c r="B114" i="48"/>
  <c r="B118" i="48"/>
  <c r="B119" i="48"/>
  <c r="B122" i="48"/>
  <c r="B124" i="48"/>
  <c r="B127" i="48"/>
  <c r="B128" i="48"/>
  <c r="B130" i="48"/>
  <c r="B131" i="48"/>
  <c r="B135" i="48"/>
  <c r="B139" i="48"/>
  <c r="B144" i="48"/>
  <c r="B146" i="48"/>
  <c r="B152" i="48"/>
  <c r="B153" i="48"/>
  <c r="B154" i="48"/>
  <c r="B155" i="48"/>
  <c r="B156" i="48"/>
  <c r="B157" i="48"/>
  <c r="B158" i="48"/>
  <c r="B159" i="48"/>
  <c r="B160" i="48"/>
  <c r="B161" i="48"/>
  <c r="B162" i="48"/>
  <c r="B163" i="48"/>
  <c r="B164" i="48"/>
  <c r="B165" i="48"/>
  <c r="B166" i="48"/>
  <c r="B167" i="48"/>
  <c r="B168" i="48"/>
  <c r="B169" i="48"/>
  <c r="B170" i="48"/>
  <c r="B171" i="48"/>
  <c r="B172" i="48"/>
  <c r="B173" i="48"/>
  <c r="B174" i="48"/>
  <c r="B175" i="48"/>
  <c r="B176" i="48"/>
  <c r="B177" i="48"/>
  <c r="B178" i="48"/>
  <c r="B179" i="48"/>
  <c r="B180" i="48"/>
  <c r="B181" i="48"/>
  <c r="B182" i="48"/>
  <c r="B183" i="48"/>
  <c r="B184" i="48"/>
  <c r="B185" i="48"/>
  <c r="B186" i="48"/>
  <c r="B187" i="48"/>
  <c r="B188" i="48"/>
  <c r="B189" i="48"/>
  <c r="B190" i="48"/>
  <c r="B191" i="48"/>
  <c r="B192" i="48"/>
  <c r="B193" i="48"/>
  <c r="B194" i="48"/>
  <c r="B195" i="48"/>
  <c r="B196" i="48"/>
  <c r="B197" i="48"/>
  <c r="B198" i="48"/>
  <c r="B199" i="48"/>
  <c r="B200" i="48"/>
  <c r="B201" i="48"/>
  <c r="B202" i="48"/>
  <c r="B203" i="48"/>
  <c r="B204" i="48"/>
  <c r="B205" i="48"/>
  <c r="B206" i="48"/>
  <c r="B207" i="48"/>
  <c r="B208" i="48"/>
  <c r="B209" i="48"/>
  <c r="B210" i="48"/>
  <c r="B211" i="48"/>
  <c r="B212" i="48"/>
  <c r="B213" i="48"/>
  <c r="B214" i="48"/>
  <c r="B215" i="48"/>
  <c r="B216" i="48"/>
  <c r="B217" i="48"/>
  <c r="B218" i="48"/>
  <c r="B219" i="48"/>
  <c r="B220" i="48"/>
  <c r="B221" i="48"/>
  <c r="B222" i="48"/>
  <c r="B223" i="48"/>
  <c r="B224" i="48"/>
  <c r="B225" i="48"/>
  <c r="B226" i="48"/>
  <c r="B227" i="48"/>
  <c r="B228" i="48"/>
  <c r="B229" i="48"/>
  <c r="B230" i="48"/>
  <c r="B231" i="48"/>
  <c r="B232" i="48"/>
  <c r="B233" i="48"/>
  <c r="B234" i="48"/>
  <c r="B235" i="48"/>
  <c r="B236" i="48"/>
  <c r="B237" i="48"/>
  <c r="B238" i="48"/>
  <c r="AA131" i="47" l="1"/>
  <c r="V131" i="47"/>
  <c r="W131" i="47" s="1"/>
  <c r="AA132" i="47"/>
  <c r="V132" i="47"/>
  <c r="W132" i="47" s="1"/>
  <c r="B115" i="48"/>
  <c r="AA115" i="33"/>
  <c r="AB115" i="33"/>
  <c r="AC115" i="33"/>
  <c r="AD115" i="33"/>
  <c r="B138" i="48"/>
  <c r="AE115" i="33"/>
  <c r="AF115" i="33"/>
  <c r="B133" i="48"/>
  <c r="B64" i="48"/>
  <c r="Z115" i="33"/>
  <c r="B7" i="48"/>
  <c r="B45" i="48"/>
  <c r="B86" i="48"/>
  <c r="B41" i="48"/>
  <c r="AJ107" i="33"/>
  <c r="AJ108" i="33"/>
  <c r="AJ109" i="33"/>
  <c r="AJ110" i="33"/>
  <c r="AJ111" i="33"/>
  <c r="AJ112" i="33"/>
  <c r="AJ113" i="33"/>
  <c r="AJ114" i="33"/>
  <c r="AJ106" i="33"/>
  <c r="Y115" i="33"/>
  <c r="B4" i="48"/>
  <c r="B151" i="48"/>
  <c r="B148" i="48"/>
  <c r="B145" i="48"/>
  <c r="B149" i="48"/>
  <c r="B150" i="48"/>
  <c r="B143" i="48"/>
  <c r="B142" i="48"/>
  <c r="B101" i="48"/>
  <c r="B141" i="48"/>
  <c r="B137" i="48"/>
  <c r="B132" i="48"/>
  <c r="B9" i="48"/>
  <c r="B125" i="48"/>
  <c r="B13" i="48"/>
  <c r="B15" i="48"/>
  <c r="B16" i="48"/>
  <c r="B121" i="48"/>
  <c r="B120" i="48"/>
  <c r="B116" i="48"/>
  <c r="B24" i="48"/>
  <c r="B26" i="48"/>
  <c r="B27" i="48"/>
  <c r="B30" i="48"/>
  <c r="B33" i="48"/>
  <c r="B35" i="48"/>
  <c r="B36" i="48"/>
  <c r="B37" i="48"/>
  <c r="B39" i="48"/>
  <c r="B40" i="48"/>
  <c r="B42" i="48"/>
  <c r="B43" i="48"/>
  <c r="B44" i="48"/>
  <c r="B46" i="48"/>
  <c r="B105" i="48"/>
  <c r="B96" i="48"/>
  <c r="B49" i="48"/>
  <c r="B51" i="48"/>
  <c r="B52" i="48"/>
  <c r="B53" i="48"/>
  <c r="B55" i="48"/>
  <c r="B56" i="48"/>
  <c r="B57" i="48"/>
  <c r="B58" i="48"/>
  <c r="B91" i="48"/>
  <c r="B85" i="48"/>
  <c r="B84" i="48"/>
  <c r="B63" i="48"/>
  <c r="B65" i="48"/>
  <c r="B66" i="48"/>
  <c r="B81" i="48"/>
  <c r="B73" i="48"/>
  <c r="B77" i="48"/>
  <c r="B75" i="48"/>
  <c r="B71" i="48"/>
  <c r="B67" i="48"/>
  <c r="B83" i="48"/>
  <c r="B62" i="48"/>
  <c r="B61" i="48"/>
  <c r="B87" i="48"/>
  <c r="B88" i="48"/>
  <c r="B89" i="48"/>
  <c r="B59" i="48"/>
  <c r="B94" i="48"/>
  <c r="B48" i="48"/>
  <c r="B98" i="48"/>
  <c r="B99" i="48"/>
  <c r="B100" i="48"/>
  <c r="B102" i="48"/>
  <c r="B103" i="48"/>
  <c r="B47" i="48"/>
  <c r="B109" i="48"/>
  <c r="B111" i="48"/>
  <c r="B112" i="48"/>
  <c r="B31" i="48"/>
  <c r="B29" i="48"/>
  <c r="B23" i="48"/>
  <c r="B22" i="48"/>
  <c r="B117" i="48"/>
  <c r="B21" i="48"/>
  <c r="B18" i="48"/>
  <c r="B12" i="48"/>
  <c r="B123" i="48"/>
  <c r="B11" i="48"/>
  <c r="B126" i="48"/>
  <c r="B129" i="48"/>
  <c r="B8" i="48"/>
  <c r="B134" i="48"/>
  <c r="B136" i="48"/>
  <c r="B6" i="48"/>
  <c r="S28" i="47"/>
  <c r="S108" i="47"/>
  <c r="T108" i="47" s="1"/>
  <c r="U108" i="47" s="1"/>
  <c r="AA108" i="47" s="1"/>
  <c r="G152" i="48"/>
  <c r="B140" i="48"/>
  <c r="S107" i="47"/>
  <c r="T107" i="47" s="1"/>
  <c r="U107" i="47" s="1"/>
  <c r="AA107" i="47" s="1"/>
  <c r="S75" i="47"/>
  <c r="S5" i="47"/>
  <c r="T5" i="47" s="1"/>
  <c r="U5" i="47" s="1"/>
  <c r="AA5" i="47" s="1"/>
  <c r="G132" i="48"/>
  <c r="G121" i="48"/>
  <c r="S112" i="47"/>
  <c r="I24" i="48" s="1"/>
  <c r="S105" i="47"/>
  <c r="I30" i="48" s="1"/>
  <c r="G110" i="48"/>
  <c r="S100" i="47"/>
  <c r="I35" i="48" s="1"/>
  <c r="S98" i="47"/>
  <c r="I38" i="48" s="1"/>
  <c r="S97" i="47"/>
  <c r="I39" i="48" s="1"/>
  <c r="S93" i="47"/>
  <c r="I43" i="48" s="1"/>
  <c r="S90" i="47"/>
  <c r="S36" i="47"/>
  <c r="S85" i="47"/>
  <c r="I52" i="48" s="1"/>
  <c r="G56" i="48"/>
  <c r="S80" i="47"/>
  <c r="I57" i="48" s="1"/>
  <c r="S49" i="47"/>
  <c r="S77" i="47"/>
  <c r="I60" i="48" s="1"/>
  <c r="S56" i="47"/>
  <c r="S73" i="47"/>
  <c r="I63" i="48" s="1"/>
  <c r="S72" i="47"/>
  <c r="I64" i="48" s="1"/>
  <c r="S61" i="47"/>
  <c r="S66" i="47"/>
  <c r="I75" i="48" s="1"/>
  <c r="G76" i="48"/>
  <c r="S68" i="47"/>
  <c r="S69" i="47"/>
  <c r="S59" i="47"/>
  <c r="I82" i="48" s="1"/>
  <c r="S74" i="47"/>
  <c r="G86" i="48"/>
  <c r="G88" i="48"/>
  <c r="S52" i="47"/>
  <c r="I89" i="48" s="1"/>
  <c r="G59" i="48"/>
  <c r="G93" i="48"/>
  <c r="G94" i="48"/>
  <c r="S46" i="47"/>
  <c r="I95" i="48" s="1"/>
  <c r="S88" i="47"/>
  <c r="G98" i="48"/>
  <c r="S42" i="47"/>
  <c r="I99" i="48" s="1"/>
  <c r="G102" i="48"/>
  <c r="S37" i="47"/>
  <c r="I104" i="48" s="1"/>
  <c r="S89" i="47"/>
  <c r="S34" i="47"/>
  <c r="I109" i="48" s="1"/>
  <c r="G34" i="48"/>
  <c r="G111" i="48"/>
  <c r="S104" i="47"/>
  <c r="G29" i="48"/>
  <c r="S113" i="47"/>
  <c r="S19" i="47"/>
  <c r="I123" i="48" s="1"/>
  <c r="S16" i="47"/>
  <c r="I127" i="48" s="1"/>
  <c r="G130" i="48"/>
  <c r="G134" i="48"/>
  <c r="G135" i="48"/>
  <c r="S8" i="47"/>
  <c r="I136" i="48" s="1"/>
  <c r="B5" i="48"/>
  <c r="B2" i="48"/>
  <c r="K10" i="48"/>
  <c r="G127" i="48"/>
  <c r="S48" i="47"/>
  <c r="I93" i="48" s="1"/>
  <c r="S53" i="47"/>
  <c r="I88" i="48" s="1"/>
  <c r="S62" i="47"/>
  <c r="S70" i="47"/>
  <c r="I66" i="48" s="1"/>
  <c r="G66" i="48"/>
  <c r="G63" i="48"/>
  <c r="S79" i="47"/>
  <c r="I58" i="48" s="1"/>
  <c r="G58" i="48"/>
  <c r="S83" i="47"/>
  <c r="S84" i="47"/>
  <c r="I53" i="48" s="1"/>
  <c r="G53" i="48"/>
  <c r="S87" i="47"/>
  <c r="I49" i="48" s="1"/>
  <c r="G49" i="48"/>
  <c r="G46" i="48"/>
  <c r="S92" i="47"/>
  <c r="I44" i="48" s="1"/>
  <c r="G44" i="48"/>
  <c r="G38" i="48"/>
  <c r="I36" i="48"/>
  <c r="G36" i="48"/>
  <c r="S103" i="47"/>
  <c r="I33" i="48" s="1"/>
  <c r="G33" i="48"/>
  <c r="I32" i="48"/>
  <c r="G32" i="48"/>
  <c r="S111" i="47"/>
  <c r="I26" i="48" s="1"/>
  <c r="G26" i="48"/>
  <c r="G106" i="48"/>
  <c r="S18" i="47"/>
  <c r="G125" i="48"/>
  <c r="G74" i="48"/>
  <c r="S24" i="47"/>
  <c r="G120" i="48"/>
  <c r="G72" i="48"/>
  <c r="G62" i="48"/>
  <c r="G47" i="48"/>
  <c r="S60" i="47"/>
  <c r="G81" i="48"/>
  <c r="S95" i="47"/>
  <c r="G41" i="48"/>
  <c r="S27" i="47"/>
  <c r="G115" i="48"/>
  <c r="G139" i="48"/>
  <c r="S78" i="47"/>
  <c r="S26" i="47"/>
  <c r="G116" i="48"/>
  <c r="G91" i="48"/>
  <c r="G23" i="48"/>
  <c r="S35" i="47"/>
  <c r="G107" i="48"/>
  <c r="S57" i="47"/>
  <c r="G84" i="48"/>
  <c r="S7" i="47"/>
  <c r="G137" i="48"/>
  <c r="S6" i="47"/>
  <c r="G138" i="48"/>
  <c r="S33" i="47"/>
  <c r="S76" i="47"/>
  <c r="G61" i="48"/>
  <c r="S45" i="47"/>
  <c r="G96" i="48"/>
  <c r="S20" i="47"/>
  <c r="G122" i="48"/>
  <c r="G118" i="48"/>
  <c r="G114" i="48"/>
  <c r="G119" i="48"/>
  <c r="S63" i="47"/>
  <c r="G77" i="48"/>
  <c r="S30" i="47"/>
  <c r="S110" i="47"/>
  <c r="G27" i="48"/>
  <c r="AJ115" i="33" l="1"/>
  <c r="V5" i="47"/>
  <c r="V107" i="47"/>
  <c r="V108" i="47"/>
  <c r="W108" i="47" s="1"/>
  <c r="T28" i="47"/>
  <c r="I154" i="48"/>
  <c r="T75" i="47"/>
  <c r="I153" i="48"/>
  <c r="G52" i="48"/>
  <c r="G71" i="48"/>
  <c r="S39" i="47"/>
  <c r="I102" i="48" s="1"/>
  <c r="G136" i="48"/>
  <c r="G48" i="48"/>
  <c r="G57" i="48"/>
  <c r="S32" i="47"/>
  <c r="I111" i="48" s="1"/>
  <c r="G85" i="48"/>
  <c r="G24" i="48"/>
  <c r="S13" i="47"/>
  <c r="G35" i="48"/>
  <c r="G67" i="48"/>
  <c r="G75" i="48"/>
  <c r="G31" i="48"/>
  <c r="I46" i="48"/>
  <c r="T90" i="47"/>
  <c r="U90" i="47" s="1"/>
  <c r="AA90" i="47" s="1"/>
  <c r="G89" i="48"/>
  <c r="S47" i="47"/>
  <c r="I94" i="48" s="1"/>
  <c r="S43" i="47"/>
  <c r="I98" i="48" s="1"/>
  <c r="S23" i="47"/>
  <c r="T23" i="47" s="1"/>
  <c r="G141" i="48"/>
  <c r="G43" i="48"/>
  <c r="G104" i="48"/>
  <c r="S10" i="47"/>
  <c r="I134" i="48" s="1"/>
  <c r="G105" i="48"/>
  <c r="G79" i="48"/>
  <c r="G30" i="48"/>
  <c r="S55" i="47"/>
  <c r="I86" i="48" s="1"/>
  <c r="G95" i="48"/>
  <c r="S106" i="47"/>
  <c r="T106" i="47" s="1"/>
  <c r="S81" i="47"/>
  <c r="I56" i="48" s="1"/>
  <c r="G64" i="48"/>
  <c r="G140" i="48"/>
  <c r="G39" i="48"/>
  <c r="G60" i="48"/>
  <c r="S65" i="47"/>
  <c r="I76" i="48" s="1"/>
  <c r="G99" i="48"/>
  <c r="S101" i="47"/>
  <c r="T101" i="47" s="1"/>
  <c r="S9" i="47"/>
  <c r="I135" i="48" s="1"/>
  <c r="G82" i="48"/>
  <c r="G109" i="48"/>
  <c r="G123" i="48"/>
  <c r="S14" i="47"/>
  <c r="I130" i="48" s="1"/>
  <c r="I152" i="48"/>
  <c r="S22" i="47"/>
  <c r="G151" i="48"/>
  <c r="G6" i="48"/>
  <c r="S126" i="47"/>
  <c r="G133" i="48"/>
  <c r="S11" i="47"/>
  <c r="I133" i="48" s="1"/>
  <c r="G8" i="48"/>
  <c r="S124" i="47"/>
  <c r="G129" i="48"/>
  <c r="S15" i="47"/>
  <c r="I129" i="48" s="1"/>
  <c r="G126" i="48"/>
  <c r="S17" i="47"/>
  <c r="I126" i="48" s="1"/>
  <c r="G11" i="48"/>
  <c r="S122" i="47"/>
  <c r="G12" i="48"/>
  <c r="S121" i="47"/>
  <c r="G18" i="48"/>
  <c r="S116" i="47"/>
  <c r="G21" i="48"/>
  <c r="S115" i="47"/>
  <c r="G117" i="48"/>
  <c r="S25" i="47"/>
  <c r="I117" i="48" s="1"/>
  <c r="G22" i="48"/>
  <c r="S114" i="47"/>
  <c r="G112" i="48"/>
  <c r="S31" i="47"/>
  <c r="I112" i="48" s="1"/>
  <c r="G103" i="48"/>
  <c r="S38" i="47"/>
  <c r="G100" i="48"/>
  <c r="S41" i="47"/>
  <c r="I100" i="48" s="1"/>
  <c r="G97" i="48"/>
  <c r="S44" i="47"/>
  <c r="I97" i="48" s="1"/>
  <c r="G90" i="48"/>
  <c r="S51" i="47"/>
  <c r="I90" i="48" s="1"/>
  <c r="G87" i="48"/>
  <c r="S54" i="47"/>
  <c r="I87" i="48" s="1"/>
  <c r="G83" i="48"/>
  <c r="S58" i="47"/>
  <c r="I83" i="48" s="1"/>
  <c r="G73" i="48"/>
  <c r="S67" i="47"/>
  <c r="I73" i="48" s="1"/>
  <c r="G65" i="48"/>
  <c r="S71" i="47"/>
  <c r="I65" i="48" s="1"/>
  <c r="G55" i="48"/>
  <c r="S82" i="47"/>
  <c r="I55" i="48" s="1"/>
  <c r="G51" i="48"/>
  <c r="S86" i="47"/>
  <c r="I51" i="48" s="1"/>
  <c r="G45" i="48"/>
  <c r="S91" i="47"/>
  <c r="I45" i="48" s="1"/>
  <c r="G42" i="48"/>
  <c r="S94" i="47"/>
  <c r="I42" i="48" s="1"/>
  <c r="G40" i="48"/>
  <c r="S96" i="47"/>
  <c r="I40" i="48" s="1"/>
  <c r="G37" i="48"/>
  <c r="S99" i="47"/>
  <c r="I37" i="48" s="1"/>
  <c r="G28" i="48"/>
  <c r="S109" i="47"/>
  <c r="G16" i="48"/>
  <c r="S117" i="47"/>
  <c r="I16" i="48" s="1"/>
  <c r="G15" i="48"/>
  <c r="S118" i="47"/>
  <c r="I15" i="48" s="1"/>
  <c r="G14" i="48"/>
  <c r="S119" i="47"/>
  <c r="I14" i="48" s="1"/>
  <c r="G13" i="48"/>
  <c r="S120" i="47"/>
  <c r="I13" i="48" s="1"/>
  <c r="G9" i="48"/>
  <c r="S123" i="47"/>
  <c r="I9" i="48" s="1"/>
  <c r="G7" i="48"/>
  <c r="S125" i="47"/>
  <c r="I7" i="48" s="1"/>
  <c r="W5" i="47"/>
  <c r="G101" i="48"/>
  <c r="S40" i="47"/>
  <c r="G142" i="48"/>
  <c r="S21" i="47"/>
  <c r="G143" i="48"/>
  <c r="S129" i="47"/>
  <c r="S102" i="47"/>
  <c r="G150" i="48"/>
  <c r="S64" i="47"/>
  <c r="G149" i="48"/>
  <c r="S12" i="47"/>
  <c r="G145" i="48"/>
  <c r="G146" i="48"/>
  <c r="S29" i="47"/>
  <c r="G148" i="48"/>
  <c r="W107" i="47"/>
  <c r="G4" i="48"/>
  <c r="S128" i="47"/>
  <c r="G5" i="48"/>
  <c r="S127" i="47"/>
  <c r="G2" i="48"/>
  <c r="S130" i="47"/>
  <c r="I2" i="48" s="1"/>
  <c r="T110" i="47"/>
  <c r="I27" i="48"/>
  <c r="T30" i="47"/>
  <c r="T63" i="47"/>
  <c r="I77" i="48"/>
  <c r="I119" i="48"/>
  <c r="I114" i="48"/>
  <c r="I118" i="48"/>
  <c r="T20" i="47"/>
  <c r="I122" i="48"/>
  <c r="T45" i="47"/>
  <c r="I96" i="48"/>
  <c r="T76" i="47"/>
  <c r="I61" i="48"/>
  <c r="T13" i="47"/>
  <c r="I132" i="48"/>
  <c r="T33" i="47"/>
  <c r="I110" i="48"/>
  <c r="T56" i="47"/>
  <c r="I85" i="48"/>
  <c r="T6" i="47"/>
  <c r="I138" i="48"/>
  <c r="T7" i="47"/>
  <c r="I137" i="48"/>
  <c r="T57" i="47"/>
  <c r="I84" i="48"/>
  <c r="T35" i="47"/>
  <c r="I107" i="48"/>
  <c r="T113" i="47"/>
  <c r="I23" i="48"/>
  <c r="T49" i="47"/>
  <c r="I91" i="48"/>
  <c r="T26" i="47"/>
  <c r="I116" i="48"/>
  <c r="T104" i="47"/>
  <c r="I31" i="48"/>
  <c r="T88" i="47"/>
  <c r="I48" i="48"/>
  <c r="T78" i="47"/>
  <c r="I59" i="48"/>
  <c r="T36" i="47"/>
  <c r="I105" i="48"/>
  <c r="I139" i="48"/>
  <c r="T27" i="47"/>
  <c r="I115" i="48"/>
  <c r="T95" i="47"/>
  <c r="I41" i="48"/>
  <c r="T60" i="47"/>
  <c r="I81" i="48"/>
  <c r="T89" i="47"/>
  <c r="I47" i="48"/>
  <c r="T74" i="47"/>
  <c r="I62" i="48"/>
  <c r="I72" i="48"/>
  <c r="T24" i="47"/>
  <c r="I120" i="48"/>
  <c r="I74" i="48"/>
  <c r="T68" i="47"/>
  <c r="I71" i="48"/>
  <c r="T18" i="47"/>
  <c r="I125" i="48"/>
  <c r="I106" i="48"/>
  <c r="T69" i="47"/>
  <c r="I67" i="48"/>
  <c r="T61" i="47"/>
  <c r="I79" i="48"/>
  <c r="I140" i="48"/>
  <c r="I141" i="48"/>
  <c r="M46" i="48" l="1"/>
  <c r="U28" i="47"/>
  <c r="AA28" i="47" s="1"/>
  <c r="K154" i="48"/>
  <c r="U75" i="47"/>
  <c r="AA75" i="47" s="1"/>
  <c r="K153" i="48"/>
  <c r="I121" i="48"/>
  <c r="K46" i="48"/>
  <c r="I29" i="48"/>
  <c r="I34" i="48"/>
  <c r="K152" i="48"/>
  <c r="T22" i="47"/>
  <c r="I151" i="48"/>
  <c r="T128" i="47"/>
  <c r="I4" i="48"/>
  <c r="T29" i="47"/>
  <c r="I148" i="48"/>
  <c r="I146" i="48"/>
  <c r="T12" i="47"/>
  <c r="I145" i="48"/>
  <c r="T64" i="47"/>
  <c r="I149" i="48"/>
  <c r="T102" i="47"/>
  <c r="I150" i="48"/>
  <c r="I143" i="48"/>
  <c r="T129" i="47"/>
  <c r="I142" i="48"/>
  <c r="T21" i="47"/>
  <c r="I101" i="48"/>
  <c r="T40" i="47"/>
  <c r="T109" i="47"/>
  <c r="K28" i="48" s="1"/>
  <c r="I28" i="48"/>
  <c r="T38" i="47"/>
  <c r="I103" i="48"/>
  <c r="T114" i="47"/>
  <c r="I22" i="48"/>
  <c r="T115" i="47"/>
  <c r="I21" i="48"/>
  <c r="T116" i="47"/>
  <c r="I18" i="48"/>
  <c r="T121" i="47"/>
  <c r="I12" i="48"/>
  <c r="T122" i="47"/>
  <c r="I11" i="48"/>
  <c r="T124" i="47"/>
  <c r="I8" i="48"/>
  <c r="T126" i="47"/>
  <c r="I6" i="48"/>
  <c r="T127" i="47"/>
  <c r="I5" i="48"/>
  <c r="V90" i="47"/>
  <c r="K140" i="48"/>
  <c r="K141" i="48"/>
  <c r="U61" i="47"/>
  <c r="AA61" i="47" s="1"/>
  <c r="K79" i="48"/>
  <c r="U69" i="47"/>
  <c r="AA69" i="47" s="1"/>
  <c r="K67" i="48"/>
  <c r="M106" i="48"/>
  <c r="K106" i="48"/>
  <c r="U18" i="47"/>
  <c r="AA18" i="47" s="1"/>
  <c r="K125" i="48"/>
  <c r="U68" i="47"/>
  <c r="AA68" i="47" s="1"/>
  <c r="K71" i="48"/>
  <c r="M74" i="48"/>
  <c r="K74" i="48"/>
  <c r="U24" i="47"/>
  <c r="AA24" i="47" s="1"/>
  <c r="K120" i="48"/>
  <c r="U23" i="47"/>
  <c r="AA23" i="47" s="1"/>
  <c r="K121" i="48"/>
  <c r="M72" i="48"/>
  <c r="K72" i="48"/>
  <c r="U74" i="47"/>
  <c r="AA74" i="47" s="1"/>
  <c r="K62" i="48"/>
  <c r="U89" i="47"/>
  <c r="AA89" i="47" s="1"/>
  <c r="K47" i="48"/>
  <c r="U60" i="47"/>
  <c r="AA60" i="47" s="1"/>
  <c r="K81" i="48"/>
  <c r="U95" i="47"/>
  <c r="AA95" i="47" s="1"/>
  <c r="K41" i="48"/>
  <c r="U27" i="47"/>
  <c r="AA27" i="47" s="1"/>
  <c r="K115" i="48"/>
  <c r="M139" i="48"/>
  <c r="K139" i="48"/>
  <c r="U36" i="47"/>
  <c r="AA36" i="47" s="1"/>
  <c r="K105" i="48"/>
  <c r="U78" i="47"/>
  <c r="AA78" i="47" s="1"/>
  <c r="K59" i="48"/>
  <c r="U88" i="47"/>
  <c r="AA88" i="47" s="1"/>
  <c r="K48" i="48"/>
  <c r="U104" i="47"/>
  <c r="AA104" i="47" s="1"/>
  <c r="K31" i="48"/>
  <c r="U26" i="47"/>
  <c r="AA26" i="47" s="1"/>
  <c r="K116" i="48"/>
  <c r="U49" i="47"/>
  <c r="AA49" i="47" s="1"/>
  <c r="K91" i="48"/>
  <c r="U113" i="47"/>
  <c r="AA113" i="47" s="1"/>
  <c r="K23" i="48"/>
  <c r="U35" i="47"/>
  <c r="AA35" i="47" s="1"/>
  <c r="K107" i="48"/>
  <c r="U106" i="47"/>
  <c r="AA106" i="47" s="1"/>
  <c r="K29" i="48"/>
  <c r="U57" i="47"/>
  <c r="AA57" i="47" s="1"/>
  <c r="K84" i="48"/>
  <c r="U7" i="47"/>
  <c r="AA7" i="47" s="1"/>
  <c r="K137" i="48"/>
  <c r="U6" i="47"/>
  <c r="AA6" i="47" s="1"/>
  <c r="K138" i="48"/>
  <c r="U56" i="47"/>
  <c r="AA56" i="47" s="1"/>
  <c r="K85" i="48"/>
  <c r="U33" i="47"/>
  <c r="AA33" i="47" s="1"/>
  <c r="K110" i="48"/>
  <c r="U13" i="47"/>
  <c r="AA13" i="47" s="1"/>
  <c r="K132" i="48"/>
  <c r="U76" i="47"/>
  <c r="AA76" i="47" s="1"/>
  <c r="K61" i="48"/>
  <c r="U45" i="47"/>
  <c r="AA45" i="47" s="1"/>
  <c r="K96" i="48"/>
  <c r="U20" i="47"/>
  <c r="AA20" i="47" s="1"/>
  <c r="K122" i="48"/>
  <c r="U101" i="47"/>
  <c r="AA101" i="47" s="1"/>
  <c r="K34" i="48"/>
  <c r="M118" i="48"/>
  <c r="K118" i="48"/>
  <c r="M114" i="48"/>
  <c r="K114" i="48"/>
  <c r="M119" i="48"/>
  <c r="K119" i="48"/>
  <c r="U63" i="47"/>
  <c r="AA63" i="47" s="1"/>
  <c r="K77" i="48"/>
  <c r="U30" i="47"/>
  <c r="AA30" i="47" s="1"/>
  <c r="U110" i="47"/>
  <c r="AA110" i="47" s="1"/>
  <c r="K27" i="48"/>
  <c r="M27" i="48" l="1"/>
  <c r="M77" i="48"/>
  <c r="M34" i="48"/>
  <c r="M122" i="48"/>
  <c r="M96" i="48"/>
  <c r="M61" i="48"/>
  <c r="M132" i="48"/>
  <c r="M110" i="48"/>
  <c r="M85" i="48"/>
  <c r="M138" i="48"/>
  <c r="M137" i="48"/>
  <c r="M84" i="48"/>
  <c r="M29" i="48"/>
  <c r="M107" i="48"/>
  <c r="M23" i="48"/>
  <c r="M91" i="48"/>
  <c r="M116" i="48"/>
  <c r="M31" i="48"/>
  <c r="M48" i="48"/>
  <c r="M59" i="48"/>
  <c r="M105" i="48"/>
  <c r="M115" i="48"/>
  <c r="M41" i="48"/>
  <c r="M81" i="48"/>
  <c r="M47" i="48"/>
  <c r="M62" i="48"/>
  <c r="M121" i="48"/>
  <c r="M120" i="48"/>
  <c r="M71" i="48"/>
  <c r="M125" i="48"/>
  <c r="M67" i="48"/>
  <c r="M79" i="48"/>
  <c r="V28" i="47"/>
  <c r="W28" i="47" s="1"/>
  <c r="M154" i="48"/>
  <c r="V75" i="47"/>
  <c r="W75" i="47" s="1"/>
  <c r="M153" i="48"/>
  <c r="M152" i="48"/>
  <c r="W90" i="47"/>
  <c r="U22" i="47"/>
  <c r="AA22" i="47" s="1"/>
  <c r="K151" i="48"/>
  <c r="U126" i="47"/>
  <c r="AA126" i="47" s="1"/>
  <c r="K6" i="48"/>
  <c r="U124" i="47"/>
  <c r="AA124" i="47" s="1"/>
  <c r="K8" i="48"/>
  <c r="U122" i="47"/>
  <c r="AA122" i="47" s="1"/>
  <c r="K11" i="48"/>
  <c r="U121" i="47"/>
  <c r="AA121" i="47" s="1"/>
  <c r="K12" i="48"/>
  <c r="U116" i="47"/>
  <c r="AA116" i="47" s="1"/>
  <c r="K18" i="48"/>
  <c r="U115" i="47"/>
  <c r="AA115" i="47" s="1"/>
  <c r="K21" i="48"/>
  <c r="U114" i="47"/>
  <c r="AA114" i="47" s="1"/>
  <c r="K22" i="48"/>
  <c r="U38" i="47"/>
  <c r="AA38" i="47" s="1"/>
  <c r="K103" i="48"/>
  <c r="U40" i="47"/>
  <c r="AA40" i="47" s="1"/>
  <c r="K101" i="48"/>
  <c r="U21" i="47"/>
  <c r="AA21" i="47" s="1"/>
  <c r="K142" i="48"/>
  <c r="U129" i="47"/>
  <c r="AA129" i="47" s="1"/>
  <c r="K143" i="48"/>
  <c r="U102" i="47"/>
  <c r="AA102" i="47" s="1"/>
  <c r="K150" i="48"/>
  <c r="U64" i="47"/>
  <c r="AA64" i="47" s="1"/>
  <c r="K149" i="48"/>
  <c r="U12" i="47"/>
  <c r="AA12" i="47" s="1"/>
  <c r="K145" i="48"/>
  <c r="K146" i="48"/>
  <c r="U29" i="47"/>
  <c r="AA29" i="47" s="1"/>
  <c r="K148" i="48"/>
  <c r="U128" i="47"/>
  <c r="AA128" i="47" s="1"/>
  <c r="K4" i="48"/>
  <c r="U127" i="47"/>
  <c r="AA127" i="47" s="1"/>
  <c r="K5" i="48"/>
  <c r="V110" i="47"/>
  <c r="V30" i="47"/>
  <c r="V63" i="47"/>
  <c r="V101" i="47"/>
  <c r="V20" i="47"/>
  <c r="V45" i="47"/>
  <c r="V76" i="47"/>
  <c r="V13" i="47"/>
  <c r="V33" i="47"/>
  <c r="V56" i="47"/>
  <c r="V6" i="47"/>
  <c r="V7" i="47"/>
  <c r="V57" i="47"/>
  <c r="V106" i="47"/>
  <c r="V35" i="47"/>
  <c r="V113" i="47"/>
  <c r="V49" i="47"/>
  <c r="V26" i="47"/>
  <c r="V104" i="47"/>
  <c r="V88" i="47"/>
  <c r="V78" i="47"/>
  <c r="V36" i="47"/>
  <c r="V27" i="47"/>
  <c r="V95" i="47"/>
  <c r="V60" i="47"/>
  <c r="V89" i="47"/>
  <c r="V74" i="47"/>
  <c r="V23" i="47"/>
  <c r="V24" i="47"/>
  <c r="V68" i="47"/>
  <c r="V18" i="47"/>
  <c r="V69" i="47"/>
  <c r="V61" i="47"/>
  <c r="T8" i="47"/>
  <c r="V22" i="47" l="1"/>
  <c r="M151" i="48"/>
  <c r="W61" i="47"/>
  <c r="W69" i="47"/>
  <c r="W18" i="47"/>
  <c r="W24" i="47"/>
  <c r="W23" i="47"/>
  <c r="W74" i="47"/>
  <c r="W89" i="47"/>
  <c r="W60" i="47"/>
  <c r="W95" i="47"/>
  <c r="W27" i="47"/>
  <c r="W36" i="47"/>
  <c r="W78" i="47"/>
  <c r="W88" i="47"/>
  <c r="W104" i="47"/>
  <c r="W26" i="47"/>
  <c r="W49" i="47"/>
  <c r="W113" i="47"/>
  <c r="W35" i="47"/>
  <c r="W106" i="47"/>
  <c r="W56" i="47"/>
  <c r="W33" i="47"/>
  <c r="W13" i="47"/>
  <c r="W76" i="47"/>
  <c r="W45" i="47"/>
  <c r="W101" i="47"/>
  <c r="W63" i="47"/>
  <c r="W30" i="47"/>
  <c r="W110" i="47"/>
  <c r="M4" i="48"/>
  <c r="V128" i="47"/>
  <c r="V29" i="47"/>
  <c r="M148" i="48"/>
  <c r="M146" i="48"/>
  <c r="V12" i="47"/>
  <c r="M145" i="48"/>
  <c r="V64" i="47"/>
  <c r="M149" i="48"/>
  <c r="V102" i="47"/>
  <c r="M150" i="48"/>
  <c r="M143" i="48"/>
  <c r="V129" i="47"/>
  <c r="M142" i="48"/>
  <c r="V21" i="47"/>
  <c r="M101" i="48"/>
  <c r="V40" i="47"/>
  <c r="M103" i="48"/>
  <c r="V38" i="47"/>
  <c r="M22" i="48"/>
  <c r="V114" i="47"/>
  <c r="M21" i="48"/>
  <c r="V115" i="47"/>
  <c r="M18" i="48"/>
  <c r="V116" i="47"/>
  <c r="M12" i="48"/>
  <c r="V121" i="47"/>
  <c r="M11" i="48"/>
  <c r="V122" i="47"/>
  <c r="M8" i="48"/>
  <c r="V124" i="47"/>
  <c r="M6" i="48"/>
  <c r="V126" i="47"/>
  <c r="M5" i="48"/>
  <c r="V127" i="47"/>
  <c r="K136" i="48"/>
  <c r="W68" i="47"/>
  <c r="W57" i="47"/>
  <c r="W7" i="47"/>
  <c r="W6" i="47"/>
  <c r="W20" i="47"/>
  <c r="T17" i="47"/>
  <c r="T81" i="47"/>
  <c r="T120" i="47"/>
  <c r="T15" i="47"/>
  <c r="T25" i="47"/>
  <c r="T66" i="47"/>
  <c r="T82" i="47"/>
  <c r="T99" i="47"/>
  <c r="T80" i="47"/>
  <c r="T83" i="47"/>
  <c r="T19" i="47"/>
  <c r="T117" i="47"/>
  <c r="T48" i="47"/>
  <c r="T96" i="47"/>
  <c r="T98" i="47"/>
  <c r="T31" i="47"/>
  <c r="T77" i="47"/>
  <c r="T43" i="47"/>
  <c r="T11" i="47"/>
  <c r="T34" i="47"/>
  <c r="T87" i="47"/>
  <c r="T47" i="47"/>
  <c r="T92" i="47"/>
  <c r="T91" i="47"/>
  <c r="T123" i="47"/>
  <c r="T46" i="47"/>
  <c r="T111" i="47"/>
  <c r="T59" i="47"/>
  <c r="T103" i="47"/>
  <c r="T54" i="47"/>
  <c r="T44" i="47"/>
  <c r="T112" i="47"/>
  <c r="T14" i="47"/>
  <c r="T41" i="47"/>
  <c r="T125" i="47"/>
  <c r="T62" i="47"/>
  <c r="T73" i="47"/>
  <c r="T55" i="47"/>
  <c r="T100" i="47"/>
  <c r="T32" i="47"/>
  <c r="T105" i="47"/>
  <c r="T86" i="47"/>
  <c r="T65" i="47"/>
  <c r="T94" i="47"/>
  <c r="T42" i="47"/>
  <c r="T119" i="47"/>
  <c r="T37" i="47"/>
  <c r="T16" i="47"/>
  <c r="T39" i="47"/>
  <c r="T84" i="47"/>
  <c r="T67" i="47"/>
  <c r="T93" i="47"/>
  <c r="T72" i="47"/>
  <c r="T71" i="47"/>
  <c r="T79" i="47"/>
  <c r="T97" i="47"/>
  <c r="T52" i="47"/>
  <c r="T118" i="47"/>
  <c r="T130" i="47"/>
  <c r="K2" i="48" s="1"/>
  <c r="T85" i="47"/>
  <c r="T70" i="47"/>
  <c r="T53" i="47"/>
  <c r="T10" i="47"/>
  <c r="T58" i="47"/>
  <c r="T51" i="47"/>
  <c r="T9" i="47"/>
  <c r="W22" i="47" l="1"/>
  <c r="W127" i="47"/>
  <c r="W126" i="47"/>
  <c r="W124" i="47"/>
  <c r="W122" i="47"/>
  <c r="W121" i="47"/>
  <c r="W116" i="47"/>
  <c r="W115" i="47"/>
  <c r="W114" i="47"/>
  <c r="W38" i="47"/>
  <c r="W40" i="47"/>
  <c r="W21" i="47"/>
  <c r="W129" i="47"/>
  <c r="W102" i="47"/>
  <c r="W64" i="47"/>
  <c r="W12" i="47"/>
  <c r="W29" i="47"/>
  <c r="W128" i="47"/>
  <c r="K135" i="48"/>
  <c r="K90" i="48"/>
  <c r="K83" i="48"/>
  <c r="K134" i="48"/>
  <c r="K88" i="48"/>
  <c r="K66" i="48"/>
  <c r="K17" i="48"/>
  <c r="K32" i="48"/>
  <c r="K52" i="48"/>
  <c r="K15" i="48"/>
  <c r="K89" i="48"/>
  <c r="K39" i="48"/>
  <c r="K58" i="48"/>
  <c r="K65" i="48"/>
  <c r="K64" i="48"/>
  <c r="K43" i="48"/>
  <c r="K73" i="48"/>
  <c r="K53" i="48"/>
  <c r="K102" i="48"/>
  <c r="K127" i="48"/>
  <c r="K104" i="48"/>
  <c r="K14" i="48"/>
  <c r="K99" i="48"/>
  <c r="K42" i="48"/>
  <c r="K36" i="48"/>
  <c r="K76" i="48"/>
  <c r="K51" i="48"/>
  <c r="K30" i="48"/>
  <c r="K111" i="48"/>
  <c r="K35" i="48"/>
  <c r="K86" i="48"/>
  <c r="K63" i="48"/>
  <c r="K7" i="48"/>
  <c r="K100" i="48"/>
  <c r="K130" i="48"/>
  <c r="K24" i="48"/>
  <c r="K97" i="48"/>
  <c r="K87" i="48"/>
  <c r="K33" i="48"/>
  <c r="K82" i="48"/>
  <c r="K26" i="48"/>
  <c r="K95" i="48"/>
  <c r="K9" i="48"/>
  <c r="K45" i="48"/>
  <c r="K44" i="48"/>
  <c r="K50" i="48"/>
  <c r="K80" i="48"/>
  <c r="K94" i="48"/>
  <c r="K108" i="48"/>
  <c r="K49" i="48"/>
  <c r="K109" i="48"/>
  <c r="K133" i="48"/>
  <c r="K98" i="48"/>
  <c r="K60" i="48"/>
  <c r="K112" i="48"/>
  <c r="K124" i="48"/>
  <c r="K38" i="48"/>
  <c r="K40" i="48"/>
  <c r="K93" i="48"/>
  <c r="K16" i="48"/>
  <c r="K123" i="48"/>
  <c r="K57" i="48"/>
  <c r="K37" i="48"/>
  <c r="K55" i="48"/>
  <c r="K75" i="48"/>
  <c r="K117" i="48"/>
  <c r="K129" i="48"/>
  <c r="K13" i="48"/>
  <c r="K56" i="48"/>
  <c r="K126" i="48"/>
  <c r="U52" i="47"/>
  <c r="AA52" i="47" s="1"/>
  <c r="U79" i="47"/>
  <c r="AA79" i="47" s="1"/>
  <c r="U67" i="47"/>
  <c r="AA67" i="47" s="1"/>
  <c r="U37" i="47"/>
  <c r="AA37" i="47" s="1"/>
  <c r="U119" i="47"/>
  <c r="AA119" i="47" s="1"/>
  <c r="U94" i="47"/>
  <c r="AA94" i="47" s="1"/>
  <c r="U65" i="47"/>
  <c r="AA65" i="47" s="1"/>
  <c r="U32" i="47"/>
  <c r="AA32" i="47" s="1"/>
  <c r="U73" i="47"/>
  <c r="AA73" i="47" s="1"/>
  <c r="U125" i="47"/>
  <c r="AA125" i="47" s="1"/>
  <c r="U41" i="47"/>
  <c r="AA41" i="47" s="1"/>
  <c r="U112" i="47"/>
  <c r="AA112" i="47" s="1"/>
  <c r="U109" i="47"/>
  <c r="AA109" i="47" s="1"/>
  <c r="U103" i="47"/>
  <c r="AA103" i="47" s="1"/>
  <c r="U111" i="47"/>
  <c r="AA111" i="47" s="1"/>
  <c r="U92" i="47"/>
  <c r="AA92" i="47" s="1"/>
  <c r="M80" i="48"/>
  <c r="U47" i="47"/>
  <c r="AA47" i="47" s="1"/>
  <c r="U87" i="47"/>
  <c r="AA87" i="47" s="1"/>
  <c r="U34" i="47"/>
  <c r="AA34" i="47" s="1"/>
  <c r="U77" i="47"/>
  <c r="AA77" i="47" s="1"/>
  <c r="U31" i="47"/>
  <c r="AA31" i="47" s="1"/>
  <c r="U96" i="47"/>
  <c r="AA96" i="47" s="1"/>
  <c r="U48" i="47"/>
  <c r="AA48" i="47" s="1"/>
  <c r="U83" i="47"/>
  <c r="AA83" i="47" s="1"/>
  <c r="U99" i="47"/>
  <c r="AA99" i="47" s="1"/>
  <c r="U72" i="47"/>
  <c r="AA72" i="47" s="1"/>
  <c r="U82" i="47"/>
  <c r="AA82" i="47" s="1"/>
  <c r="U66" i="47"/>
  <c r="AA66" i="47" s="1"/>
  <c r="U15" i="47"/>
  <c r="AA15" i="47" s="1"/>
  <c r="U81" i="47"/>
  <c r="AA81" i="47" s="1"/>
  <c r="U71" i="47"/>
  <c r="AA71" i="47" s="1"/>
  <c r="U93" i="47"/>
  <c r="AA93" i="47" s="1"/>
  <c r="U16" i="47"/>
  <c r="AA16" i="47" s="1"/>
  <c r="U42" i="47"/>
  <c r="AA42" i="47" s="1"/>
  <c r="M36" i="48"/>
  <c r="U86" i="47"/>
  <c r="AA86" i="47" s="1"/>
  <c r="U105" i="47"/>
  <c r="AA105" i="47" s="1"/>
  <c r="U100" i="47"/>
  <c r="AA100" i="47" s="1"/>
  <c r="U55" i="47"/>
  <c r="AA55" i="47" s="1"/>
  <c r="U62" i="47"/>
  <c r="AA62" i="47" s="1"/>
  <c r="U14" i="47"/>
  <c r="AA14" i="47" s="1"/>
  <c r="U44" i="47"/>
  <c r="AA44" i="47" s="1"/>
  <c r="U54" i="47"/>
  <c r="AA54" i="47" s="1"/>
  <c r="U59" i="47"/>
  <c r="AA59" i="47" s="1"/>
  <c r="U46" i="47"/>
  <c r="AA46" i="47" s="1"/>
  <c r="U123" i="47"/>
  <c r="AA123" i="47" s="1"/>
  <c r="U91" i="47"/>
  <c r="AA91" i="47" s="1"/>
  <c r="M50" i="48"/>
  <c r="M108" i="48"/>
  <c r="U11" i="47"/>
  <c r="AA11" i="47" s="1"/>
  <c r="U43" i="47"/>
  <c r="AA43" i="47" s="1"/>
  <c r="M124" i="48"/>
  <c r="U98" i="47"/>
  <c r="AA98" i="47" s="1"/>
  <c r="U117" i="47"/>
  <c r="AA117" i="47" s="1"/>
  <c r="U19" i="47"/>
  <c r="AA19" i="47" s="1"/>
  <c r="U80" i="47"/>
  <c r="AA80" i="47" s="1"/>
  <c r="U118" i="47"/>
  <c r="AA118" i="47" s="1"/>
  <c r="U97" i="47"/>
  <c r="AA97" i="47" s="1"/>
  <c r="U84" i="47"/>
  <c r="AA84" i="47" s="1"/>
  <c r="U39" i="47"/>
  <c r="AA39" i="47" s="1"/>
  <c r="M32" i="48"/>
  <c r="U25" i="47"/>
  <c r="AA25" i="47" s="1"/>
  <c r="U120" i="47"/>
  <c r="AA120" i="47" s="1"/>
  <c r="U17" i="47"/>
  <c r="AA17" i="47" s="1"/>
  <c r="U8" i="47"/>
  <c r="AA8" i="47" s="1"/>
  <c r="U130" i="47"/>
  <c r="AA130" i="47" s="1"/>
  <c r="U58" i="47"/>
  <c r="AA58" i="47" s="1"/>
  <c r="U10" i="47"/>
  <c r="AA10" i="47" s="1"/>
  <c r="U70" i="47"/>
  <c r="AA70" i="47" s="1"/>
  <c r="U9" i="47"/>
  <c r="AA9" i="47" s="1"/>
  <c r="U51" i="47"/>
  <c r="AA51" i="47" s="1"/>
  <c r="U53" i="47"/>
  <c r="AA53" i="47" s="1"/>
  <c r="M17" i="48"/>
  <c r="U85" i="47"/>
  <c r="AA85" i="47" s="1"/>
  <c r="M52" i="48" l="1"/>
  <c r="M88" i="48"/>
  <c r="M90" i="48"/>
  <c r="M135" i="48"/>
  <c r="M66" i="48"/>
  <c r="M134" i="48"/>
  <c r="M83" i="48"/>
  <c r="M2" i="48"/>
  <c r="M136" i="48"/>
  <c r="M126" i="48"/>
  <c r="M13" i="48"/>
  <c r="M117" i="48"/>
  <c r="M102" i="48"/>
  <c r="M53" i="48"/>
  <c r="M39" i="48"/>
  <c r="M15" i="48"/>
  <c r="M57" i="48"/>
  <c r="M123" i="48"/>
  <c r="M16" i="48"/>
  <c r="M38" i="48"/>
  <c r="M98" i="48"/>
  <c r="M133" i="48"/>
  <c r="M45" i="48"/>
  <c r="M9" i="48"/>
  <c r="M95" i="48"/>
  <c r="M82" i="48"/>
  <c r="M87" i="48"/>
  <c r="M97" i="48"/>
  <c r="M130" i="48"/>
  <c r="M86" i="48"/>
  <c r="M35" i="48"/>
  <c r="M30" i="48"/>
  <c r="M51" i="48"/>
  <c r="M99" i="48"/>
  <c r="M127" i="48"/>
  <c r="M43" i="48"/>
  <c r="M65" i="48"/>
  <c r="M56" i="48"/>
  <c r="M129" i="48"/>
  <c r="M75" i="48"/>
  <c r="M55" i="48"/>
  <c r="M64" i="48"/>
  <c r="M37" i="48"/>
  <c r="M93" i="48"/>
  <c r="M40" i="48"/>
  <c r="M112" i="48"/>
  <c r="M60" i="48"/>
  <c r="M109" i="48"/>
  <c r="M49" i="48"/>
  <c r="M94" i="48"/>
  <c r="M44" i="48"/>
  <c r="M26" i="48"/>
  <c r="M33" i="48"/>
  <c r="M28" i="48"/>
  <c r="M24" i="48"/>
  <c r="M100" i="48"/>
  <c r="M7" i="48"/>
  <c r="M63" i="48"/>
  <c r="M111" i="48"/>
  <c r="M76" i="48"/>
  <c r="M42" i="48"/>
  <c r="M14" i="48"/>
  <c r="M104" i="48"/>
  <c r="M73" i="48"/>
  <c r="M58" i="48"/>
  <c r="M89" i="48"/>
  <c r="M140" i="48"/>
  <c r="M141" i="48"/>
  <c r="V25" i="47"/>
  <c r="V80" i="47"/>
  <c r="V11" i="47"/>
  <c r="V123" i="47"/>
  <c r="V59" i="47"/>
  <c r="V44" i="47"/>
  <c r="V14" i="47"/>
  <c r="V55" i="47"/>
  <c r="V105" i="47"/>
  <c r="V42" i="47"/>
  <c r="V71" i="47"/>
  <c r="V81" i="47"/>
  <c r="V82" i="47"/>
  <c r="V72" i="47"/>
  <c r="V99" i="47"/>
  <c r="V83" i="47"/>
  <c r="V96" i="47"/>
  <c r="V31" i="47"/>
  <c r="V87" i="47"/>
  <c r="V109" i="47"/>
  <c r="V112" i="47"/>
  <c r="V32" i="47"/>
  <c r="V65" i="47"/>
  <c r="V37" i="47"/>
  <c r="V79" i="47"/>
  <c r="V52" i="47"/>
  <c r="V8" i="47"/>
  <c r="V120" i="47"/>
  <c r="V85" i="47"/>
  <c r="V84" i="47"/>
  <c r="V117" i="47"/>
  <c r="V98" i="47"/>
  <c r="V17" i="47"/>
  <c r="V39" i="47"/>
  <c r="V97" i="47"/>
  <c r="V118" i="47"/>
  <c r="V19" i="47"/>
  <c r="V43" i="47"/>
  <c r="V91" i="47"/>
  <c r="V46" i="47"/>
  <c r="V54" i="47"/>
  <c r="V62" i="47"/>
  <c r="V100" i="47"/>
  <c r="V86" i="47"/>
  <c r="V16" i="47"/>
  <c r="V93" i="47"/>
  <c r="V15" i="47"/>
  <c r="V66" i="47"/>
  <c r="V48" i="47"/>
  <c r="V77" i="47"/>
  <c r="V34" i="47"/>
  <c r="V47" i="47"/>
  <c r="V92" i="47"/>
  <c r="V111" i="47"/>
  <c r="V103" i="47"/>
  <c r="V41" i="47"/>
  <c r="V125" i="47"/>
  <c r="V73" i="47"/>
  <c r="V94" i="47"/>
  <c r="V119" i="47"/>
  <c r="V67" i="47"/>
  <c r="V130" i="47"/>
  <c r="V53" i="47"/>
  <c r="V51" i="47"/>
  <c r="V9" i="47"/>
  <c r="V70" i="47"/>
  <c r="V10" i="47"/>
  <c r="V58" i="47"/>
  <c r="W130" i="47" l="1"/>
  <c r="W125" i="47"/>
  <c r="W47" i="47"/>
  <c r="W77" i="47"/>
  <c r="W93" i="47"/>
  <c r="W16" i="47"/>
  <c r="W86" i="47"/>
  <c r="W100" i="47"/>
  <c r="W62" i="47"/>
  <c r="W54" i="47"/>
  <c r="W46" i="47"/>
  <c r="W91" i="47"/>
  <c r="W43" i="47"/>
  <c r="W19" i="47"/>
  <c r="W118" i="47"/>
  <c r="W97" i="47"/>
  <c r="W39" i="47"/>
  <c r="W17" i="47"/>
  <c r="W98" i="47"/>
  <c r="W84" i="47"/>
  <c r="W85" i="47"/>
  <c r="W8" i="47"/>
  <c r="W65" i="47"/>
  <c r="W32" i="47"/>
  <c r="W83" i="47"/>
  <c r="W82" i="47"/>
  <c r="W81" i="47"/>
  <c r="W71" i="47"/>
  <c r="W42" i="47"/>
  <c r="W105" i="47"/>
  <c r="W55" i="47"/>
  <c r="W14" i="47"/>
  <c r="W44" i="47"/>
  <c r="W59" i="47"/>
  <c r="W123" i="47"/>
  <c r="W11" i="47"/>
  <c r="W80" i="47"/>
  <c r="W25" i="47"/>
  <c r="W15" i="47"/>
  <c r="W66" i="47"/>
  <c r="W31" i="47"/>
  <c r="W120" i="47"/>
  <c r="W119" i="47"/>
  <c r="W73" i="47"/>
  <c r="W41" i="47"/>
  <c r="W103" i="47"/>
  <c r="W111" i="47"/>
  <c r="W92" i="47"/>
  <c r="W48" i="47"/>
  <c r="W117" i="47"/>
  <c r="W52" i="47"/>
  <c r="W79" i="47"/>
  <c r="W37" i="47"/>
  <c r="W112" i="47"/>
  <c r="W109" i="47"/>
  <c r="W87" i="47"/>
  <c r="W99" i="47"/>
  <c r="W72" i="47"/>
  <c r="W67" i="47"/>
  <c r="W94" i="47"/>
  <c r="W34" i="47"/>
  <c r="W96" i="47"/>
  <c r="W70" i="47"/>
  <c r="W53" i="47"/>
  <c r="W58" i="47"/>
  <c r="W10" i="47"/>
  <c r="W9" i="47"/>
  <c r="W51" i="47"/>
  <c r="E50" i="47"/>
  <c r="R50" i="47" s="1"/>
  <c r="G147" i="48" l="1"/>
  <c r="S50" i="47"/>
  <c r="B147" i="48"/>
  <c r="I147" i="48" l="1"/>
  <c r="T50" i="47"/>
  <c r="K147" i="48" l="1"/>
  <c r="U50" i="47"/>
  <c r="AA50" i="47" s="1"/>
  <c r="M147" i="48" l="1"/>
  <c r="V50" i="47"/>
  <c r="W50" i="4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PRACTICANTE - SOFIA REYES POLI</author>
  </authors>
  <commentList>
    <comment ref="AN8" authorId="0" shapeId="0" xr:uid="{46F9ECA2-0B94-4A92-A400-A98290973254}">
      <text>
        <r>
          <rPr>
            <sz val="11"/>
            <color theme="1"/>
            <rFont val="Calibri"/>
            <family val="2"/>
            <scheme val="minor"/>
          </rPr>
          <t>Recomendación: Rojo
Mandatorio: Amarillo
Normativo: Azul intenso
Correctivo: Azul medio
Evolutivo: Azul suave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F534B4-8827-4310-855F-B7826C64E378}" keepAlive="1" name="Consulta - PRIORIDAD_UNO" description="Conexión a la consulta 'PRIORIDAD_UNO' en el libro." type="5" refreshedVersion="8" background="1" saveData="1">
    <dbPr connection="Provider=Microsoft.Mashup.OleDb.1;Data Source=$Workbook$;Location=PRIORIDAD_UNO;Extended Properties=&quot;&quot;" command="SELECT * FROM [PRIORIDAD_UNO]"/>
  </connection>
</connections>
</file>

<file path=xl/sharedStrings.xml><?xml version="1.0" encoding="utf-8"?>
<sst xmlns="http://schemas.openxmlformats.org/spreadsheetml/2006/main" count="3719" uniqueCount="647">
  <si>
    <t>Detalles para Cuenta de Nombre del requerimiento - Gerencia: Banca Digital, Mes_Cronograma: 2027 - 3, Estado Evaluación de Iniciativas: Pendiente de Atención</t>
  </si>
  <si>
    <t>Nombre del requerimiento</t>
  </si>
  <si>
    <t>Prioridad</t>
  </si>
  <si>
    <t>Orden de Atención</t>
  </si>
  <si>
    <t>Esfuerzo Estimado Desarrollo</t>
  </si>
  <si>
    <t>Tamaño</t>
  </si>
  <si>
    <t>Gerencia</t>
  </si>
  <si>
    <t>Subgerencia</t>
  </si>
  <si>
    <t>Sección</t>
  </si>
  <si>
    <t>Memorando 2026</t>
  </si>
  <si>
    <t>Tiene Anexo 2</t>
  </si>
  <si>
    <t>Categoría</t>
  </si>
  <si>
    <t>Estado Evaluación de Iniciativas</t>
  </si>
  <si>
    <t>Seccion TI</t>
  </si>
  <si>
    <t>Responsable de atención</t>
  </si>
  <si>
    <t>Gestor</t>
  </si>
  <si>
    <t>Comentario</t>
  </si>
  <si>
    <t>Comienzo Desarrollo</t>
  </si>
  <si>
    <t>Fin Desarrollo</t>
  </si>
  <si>
    <t>Comienzo Calidad</t>
  </si>
  <si>
    <t>Fin Calidad</t>
  </si>
  <si>
    <t>Comienzo Producción</t>
  </si>
  <si>
    <t>Fin Producción</t>
  </si>
  <si>
    <t>Días Calendario</t>
  </si>
  <si>
    <t>Hay Fecha Inicio</t>
  </si>
  <si>
    <t>Tiene esfuerzo</t>
  </si>
  <si>
    <t>Indicador Fechas</t>
  </si>
  <si>
    <t>Mes_Cronograma</t>
  </si>
  <si>
    <t>Adecuación del no cobro de comisión por reposición de Tarjeta de Débito por bloqueos de fraude</t>
  </si>
  <si>
    <t>3 meses</t>
  </si>
  <si>
    <t>Mediano</t>
  </si>
  <si>
    <t>Banca Digital</t>
  </si>
  <si>
    <t>Canales Alternos</t>
  </si>
  <si>
    <t>Canales Virtuales</t>
  </si>
  <si>
    <t>MEMORANDO N° 00000091 - 2026-BN/3252</t>
  </si>
  <si>
    <t>Sí</t>
  </si>
  <si>
    <t>Recomendación</t>
  </si>
  <si>
    <t>Pendiente de Atención</t>
  </si>
  <si>
    <t>Sistemas Bancarios</t>
  </si>
  <si>
    <t>Norma Fukunaga</t>
  </si>
  <si>
    <t>Omar Sarmiento</t>
  </si>
  <si>
    <t>Con Fecha</t>
  </si>
  <si>
    <t>Con esfuerzo</t>
  </si>
  <si>
    <t>🟢 A tiempo</t>
  </si>
  <si>
    <t>2027 - 3</t>
  </si>
  <si>
    <t>Visa Mandatorio - Autorizaciones parciales para las transacciones AFT</t>
  </si>
  <si>
    <t>4 meses</t>
  </si>
  <si>
    <t>Grande</t>
  </si>
  <si>
    <t>MEMORANDO N° 00000091 -2026-BN/3252</t>
  </si>
  <si>
    <t>Mandatorio</t>
  </si>
  <si>
    <t>Vladimir Cajavilca</t>
  </si>
  <si>
    <t>Solicitud de Notificaciones</t>
  </si>
  <si>
    <t>Por definir</t>
  </si>
  <si>
    <t>MEMORANDO N° 00000518 - 2025-BN/3252</t>
  </si>
  <si>
    <t>Evolutivo</t>
  </si>
  <si>
    <t>Soluciones Digitales</t>
  </si>
  <si>
    <t>Mario Carbajo</t>
  </si>
  <si>
    <t>Tabla 1 - Requerimientos que cuentan con anexo 2 por gerencias</t>
  </si>
  <si>
    <t>Tiene Anexo 2 ¿?</t>
  </si>
  <si>
    <t>Tabla 3 - Categorias de los requerimientos por gerencias</t>
  </si>
  <si>
    <t>No</t>
  </si>
  <si>
    <t>Total general</t>
  </si>
  <si>
    <t>Correctivo</t>
  </si>
  <si>
    <t>Normativo</t>
  </si>
  <si>
    <t>(en blanco)</t>
  </si>
  <si>
    <t>Finanzas y Tesorería</t>
  </si>
  <si>
    <t>Operaciones</t>
  </si>
  <si>
    <t>OPLAFT</t>
  </si>
  <si>
    <t>Productos e Inclusión Financiera</t>
  </si>
  <si>
    <t>Red de Agencias</t>
  </si>
  <si>
    <t>Riesgos</t>
  </si>
  <si>
    <t>Innovación y Transformación Digital</t>
  </si>
  <si>
    <t>Administración y Logistica</t>
  </si>
  <si>
    <t>Tabla 4 - Requerimientos según su tamaño y gerencia</t>
  </si>
  <si>
    <t>Pequeño</t>
  </si>
  <si>
    <t>No definido</t>
  </si>
  <si>
    <t>Extra Grande</t>
  </si>
  <si>
    <t>Proyecto</t>
  </si>
  <si>
    <t>Tabla 5 - Requerimientos según su estado y gerencia</t>
  </si>
  <si>
    <t>Observado</t>
  </si>
  <si>
    <t>Por evaluar</t>
  </si>
  <si>
    <t>Descartado</t>
  </si>
  <si>
    <t>Cuenta de Nombre del requerimiento</t>
  </si>
  <si>
    <t>GERENCIAS</t>
  </si>
  <si>
    <t>Por Definir</t>
  </si>
  <si>
    <t>2026 - 10</t>
  </si>
  <si>
    <t>2026 - 11</t>
  </si>
  <si>
    <t>2026 - 12</t>
  </si>
  <si>
    <t>2026 - 9</t>
  </si>
  <si>
    <t>2027 - 1</t>
  </si>
  <si>
    <t>2027 - 10</t>
  </si>
  <si>
    <t>2027 - 11</t>
  </si>
  <si>
    <t>2027 - 12</t>
  </si>
  <si>
    <t>2027 - 2</t>
  </si>
  <si>
    <t>2027 - 4</t>
  </si>
  <si>
    <t>2027 - 5</t>
  </si>
  <si>
    <t>2027 - 6</t>
  </si>
  <si>
    <t>2027 - 7</t>
  </si>
  <si>
    <t>2027 - 8</t>
  </si>
  <si>
    <t>2028 - 2</t>
  </si>
  <si>
    <t>2028 - 5</t>
  </si>
  <si>
    <t>1er Trimestre</t>
  </si>
  <si>
    <t>2do Trimestre</t>
  </si>
  <si>
    <t>3ro Trimestre</t>
  </si>
  <si>
    <t>4to Trimestre</t>
  </si>
  <si>
    <t> </t>
  </si>
  <si>
    <t>Leyenda - Comienzo Desarrollo</t>
  </si>
  <si>
    <t>Leyenda - Fechas</t>
  </si>
  <si>
    <t>🟠: Tamaño no definido.</t>
  </si>
  <si>
    <r>
      <rPr>
        <b/>
        <sz val="11"/>
        <color rgb="FF0070C0"/>
        <rFont val="Calibri"/>
        <family val="2"/>
        <scheme val="minor"/>
      </rPr>
      <t>⚠️Error</t>
    </r>
    <r>
      <rPr>
        <sz val="11"/>
        <color rgb="FF000000"/>
        <rFont val="Calibri"/>
        <family val="2"/>
        <scheme val="minor"/>
      </rPr>
      <t xml:space="preserve">: </t>
    </r>
    <r>
      <rPr>
        <b/>
        <sz val="11"/>
        <color rgb="FFFF0000"/>
        <rFont val="Calibri"/>
        <family val="2"/>
        <scheme val="minor"/>
      </rPr>
      <t>No está registrado</t>
    </r>
    <r>
      <rPr>
        <sz val="11"/>
        <color rgb="FF000000"/>
        <rFont val="Calibri"/>
        <family val="2"/>
        <scheme val="minor"/>
      </rPr>
      <t xml:space="preserve"> en hoja "Cálculos Manual".</t>
    </r>
  </si>
  <si>
    <t>🟣: Iniciativa es un proyecto.</t>
  </si>
  <si>
    <t>Backlog ID</t>
  </si>
  <si>
    <t>Vulnerabilidad en la plataforma Pagalo.pe reportada por el equipo de Seguridad Informatica en la descarga de comprobantes de pago</t>
  </si>
  <si>
    <t>1 mes</t>
  </si>
  <si>
    <t>MEMORANDO N° 00000120 - 2026-BN/3252</t>
  </si>
  <si>
    <t>Eduardo Cárdenas</t>
  </si>
  <si>
    <t>No está</t>
  </si>
  <si>
    <t>VCX el cual reemplaza al edit package - Mandatorio Visa</t>
  </si>
  <si>
    <t>Transferencias Inmediatas Masivas vía CCE</t>
  </si>
  <si>
    <t>SubGerencia de Captaciones y Pagaduria</t>
  </si>
  <si>
    <t>Sistema de Pagos</t>
  </si>
  <si>
    <t>MEMORANDO N° 00000166 - 2025-BN/3116</t>
  </si>
  <si>
    <t>Waldo Basurto</t>
  </si>
  <si>
    <t>Junior Quicaño</t>
  </si>
  <si>
    <t>Anexo 2 indica que es un requerimiento evolutivo.</t>
  </si>
  <si>
    <t>Transferencias a contacto hacia Cuentas BN con consulta en Directorio Interno BN (SIX/STI)</t>
  </si>
  <si>
    <t>MEMORANDO N° 00000022 - 2026-BN/3116</t>
  </si>
  <si>
    <t>El tiempo estimado de implementación debe ser evaluado por el Proveedor Novatronic, coordinar con el área usuaria. Una vez nos confirmen la planificación de atención, estimaremos los plazos de atencion BN.</t>
  </si>
  <si>
    <t>Tasas preferenciales para Tarjeta de Crédito</t>
  </si>
  <si>
    <t>Banca Personal</t>
  </si>
  <si>
    <t>Tarjeta de Crédito</t>
  </si>
  <si>
    <t>Waldo Basurto / Fiorella Galvan</t>
  </si>
  <si>
    <t>Milagros Huamani</t>
  </si>
  <si>
    <t>Solución integral a los casos de duplicidad de apertura de cuentas de Ahorro y casos de clientes sin datos y cuentas cruzadas</t>
  </si>
  <si>
    <t xml:space="preserve">3 meses </t>
  </si>
  <si>
    <t>Apertura de Cuentas</t>
  </si>
  <si>
    <t>MEMORANDO N° 00000364 - 2026-BN/3111 (Decía 2025)</t>
  </si>
  <si>
    <t>Jhonny Rooca / Norma Fukunaga</t>
  </si>
  <si>
    <t>Recomendación: Falta sello.</t>
  </si>
  <si>
    <t>Solicita implementar cobro de comisión Adquirente Internacional VISA por uso en canal ATM del BN (Consultas y Retiros)</t>
  </si>
  <si>
    <t>4 Meses</t>
  </si>
  <si>
    <t>Canales Presenciales</t>
  </si>
  <si>
    <t>MEMORANDO N° 00000044 - 2026-BN/3251</t>
  </si>
  <si>
    <t>Sistema Antifraude en el servicio de Transferencias Interbancarias Inmediatas e Interoperabilidad</t>
  </si>
  <si>
    <t>MEMORANDO N° 00000020 - 2026-BN/3116</t>
  </si>
  <si>
    <t>Monica Campana</t>
  </si>
  <si>
    <t>El área usuaria priorizó su atención antes de iniciar el requerimiento de Masivas.
Anexo 2 dice evolutivo.</t>
  </si>
  <si>
    <t>SIRE Registro de Libro Diario</t>
  </si>
  <si>
    <t>Contabilidad</t>
  </si>
  <si>
    <t>Centralización y Procesamiento Contable</t>
  </si>
  <si>
    <t>MEMORANDO N° 00000006 - 2026-BN6215</t>
  </si>
  <si>
    <t>Sistemas Administrativos</t>
  </si>
  <si>
    <t>Emerson Quecara</t>
  </si>
  <si>
    <t>Juan Carlos Zavaleta</t>
  </si>
  <si>
    <t>Equipo técnico en elaboración de crnograma</t>
  </si>
  <si>
    <t>Separación funcional operativa contable de las remesas ATMs BN e islas Lima entre las Secciones Caja y Canales Presenciales.</t>
  </si>
  <si>
    <t xml:space="preserve">7 meses </t>
  </si>
  <si>
    <t xml:space="preserve">Subgerencia Caja y Valores </t>
  </si>
  <si>
    <t>Caja y Valores en Custodia</t>
  </si>
  <si>
    <t>MEMORANDO N° 00000034 - 2026-BN/3131</t>
  </si>
  <si>
    <t>Ricardo Cuba</t>
  </si>
  <si>
    <t>Rporte mensual  de saldos de prestamos Multired  conforme a los lineamientos  del 16c Ratio de Financiación Neta estable</t>
  </si>
  <si>
    <t>2 meses</t>
  </si>
  <si>
    <t>Riesgos Crediticios y Financieros</t>
  </si>
  <si>
    <t>Riesgos Financieros</t>
  </si>
  <si>
    <t>MEMORANDO N° 00000024 - 2026-BN/2193</t>
  </si>
  <si>
    <t>Fiorella Galván</t>
  </si>
  <si>
    <t>María Barboza</t>
  </si>
  <si>
    <t>Reverso automático en el canal Agente BN</t>
  </si>
  <si>
    <t>MEMORANDO N° 00000044 -2026-BN/3251</t>
  </si>
  <si>
    <t> Backlog ID. 3194</t>
  </si>
  <si>
    <t>Requerimiento de incorporación del control dual biométrico en las transacciones del servicio de giros 7510, 7600, 7700 y 7800. Se requiere implementación para atender recomendación de OAI.</t>
  </si>
  <si>
    <t>Servicios Bancarios y Recaudación</t>
  </si>
  <si>
    <t>Recaudación y Corresponsalía</t>
  </si>
  <si>
    <t>MEMORANDO N° 00000029 - 2026-BN/3243</t>
  </si>
  <si>
    <t>Rossana Rojas</t>
  </si>
  <si>
    <t xml:space="preserve">
Recomendación: Sellado.</t>
  </si>
  <si>
    <t>Reportes por operaciones de reposicion de tarjetas en la red de agencias</t>
  </si>
  <si>
    <t>Reporteria de transacciones - 0208, 0201, 0210</t>
  </si>
  <si>
    <t>MEMORANDO N° 00000322 - 2026-BN/9700</t>
  </si>
  <si>
    <t>Reporte NRT Control del Fraude</t>
  </si>
  <si>
    <t>MEMORANDO N° 00000002 - 2026-BN/3252</t>
  </si>
  <si>
    <t>No tiene definido Orden de Atención</t>
  </si>
  <si>
    <t>3187</t>
  </si>
  <si>
    <t xml:space="preserve">Reporte detallado de las notificacion de la comunciaciones por transacciones en ATMs </t>
  </si>
  <si>
    <t xml:space="preserve">Reporte detallado de las notificacion de la comunciaciones por transacciones en Agente BN </t>
  </si>
  <si>
    <t xml:space="preserve">Reporte de Modificaciones de datos de clientes - AUDITORIA EXTERNA </t>
  </si>
  <si>
    <t xml:space="preserve">2 meses </t>
  </si>
  <si>
    <t>MEMORANDO N° 00000142 - 2026-BN/3111</t>
  </si>
  <si>
    <t>Johnny Rocca</t>
  </si>
  <si>
    <t xml:space="preserve">
El Anexo 2 indica Evolutivo.</t>
  </si>
  <si>
    <t>Reporte de la funcionalidad del Canal ATM</t>
  </si>
  <si>
    <t>Herbert Rojas</t>
  </si>
  <si>
    <t>Reporte de la funcionalidad del Canal Agente BN</t>
  </si>
  <si>
    <t>Reporte de Clientes con clave de internet</t>
  </si>
  <si>
    <t>MEMORANDO N° 00000130 - 2026-BN-3252</t>
  </si>
  <si>
    <t>Backlog ID. 3355</t>
  </si>
  <si>
    <t>Reporte de accesos al sistema de Emulación - DA00</t>
  </si>
  <si>
    <t>Mesa de Ayuda</t>
  </si>
  <si>
    <t>MEMORANDO N° 00000045 - 2026-BN/3151</t>
  </si>
  <si>
    <t>Revisar 3144</t>
  </si>
  <si>
    <t>Reporte de Accesos al Sistema BDUC</t>
  </si>
  <si>
    <t>Jhonny Rooca</t>
  </si>
  <si>
    <t>Renovación Préstamos Canales Banca Movil, Banca Internet</t>
  </si>
  <si>
    <t>Préstamo Multired</t>
  </si>
  <si>
    <t>MEMORANDO N° 00000084 - 2026-BN/3347</t>
  </si>
  <si>
    <t>Marilú Cordova</t>
  </si>
  <si>
    <t>Gerencia TI indicó que no se debe de desarrollar ninguna funcionabilidad nueva en las aplicaciones actules de Banca Movil y Homebankig.</t>
  </si>
  <si>
    <t xml:space="preserve">Registro de Entidad 0813 - CMAC Tacna en el sistema de transferencias Interbancarias e Interoperabilidad CCE </t>
  </si>
  <si>
    <t xml:space="preserve">1 mes </t>
  </si>
  <si>
    <t>MEMORANDO N° 00000140 - 2025-BN/3116</t>
  </si>
  <si>
    <t>Anexo 2 dice evolutivo.</t>
  </si>
  <si>
    <t>Reclasificación codigo 82</t>
  </si>
  <si>
    <t>Realizar la inscripción de nuevos códigos y conceptos de pagos de la Universidad Nacional de Piura, así como cambiar las denominaciones señaladas.</t>
  </si>
  <si>
    <t>MEMORANDO N° 00000018 - 2026-BN/3243</t>
  </si>
  <si>
    <t>Rutinario , solcitar aprobación tiene trámite 2025-T0901</t>
  </si>
  <si>
    <t>Procesamiento de Credit Voucher and Merchandise Return</t>
  </si>
  <si>
    <t>La estimacion es realizada mediante el correo de maribel del viernes 15/05/2026 17:19
22/05/2026 En reunión con el área usuaria se informó que el anexo referenciado debe ser actualizado y dividido
Tenía fecha de inicio 29/09/2026 pero no tiene anexo 2</t>
  </si>
  <si>
    <t>Perdida de llaves Red de ATMs (Cód. 55)</t>
  </si>
  <si>
    <t>Pago electronico para embargos SUNAT, SUNAT-MEF-BN iniciaron acuerdos a fin de implementar  el pago electónico para embargos de retenciones notificados por los ejecutores coactivos de la SUNAT a las unidades ejecutoras del sector público</t>
  </si>
  <si>
    <t>MEMORANDO N° 00000255 - 2025-BN/3243</t>
  </si>
  <si>
    <t>Nueva transacción para el control de Ingresos y devoluciones de Garantías</t>
  </si>
  <si>
    <t>MEMORANDO N° 00000028 - 2026-BN/3243</t>
  </si>
  <si>
    <t>Jorge Rueda</t>
  </si>
  <si>
    <t>El requerimiento debe ser evaluado por el equipo de Construcción, se coordinará con Eduardo Cardenas para desiganar analista o supervisior responsable de atención.</t>
  </si>
  <si>
    <t>Nueva estructura para la Apertura de cuentas de ahorro Masivas e Individuales</t>
  </si>
  <si>
    <t>6 meses</t>
  </si>
  <si>
    <t>MEMORANDO N° 00000150 - 2026-BN/3111</t>
  </si>
  <si>
    <t>Notificación de Operaciones de Retiro con tarjeta de Débito, crédito y transacciones que deben generar alertas – Canal Ventanilla</t>
  </si>
  <si>
    <t>9  meses</t>
  </si>
  <si>
    <t>MEMORANDO N° 00000321 - 2026-BN/9700</t>
  </si>
  <si>
    <t>Se atenderá con la FBS</t>
  </si>
  <si>
    <t>Modificar regla de Negocio respecto al cobro  de ITF EN OPERACIONES DE TRNASFERENCIAS ENTRE CUENTAS DEL MISMO TITULAR(Mismo Banco e Interbancarias)</t>
  </si>
  <si>
    <t>MEMORANDO N° 00000180 - 2025-BN/3116</t>
  </si>
  <si>
    <t>Adolfo Escobar</t>
  </si>
  <si>
    <t xml:space="preserve">
Anexo 2 sale correctivo.</t>
  </si>
  <si>
    <t>Modificar información que se envía a los beneficiarios a través de mensajes SMS por abonos de Transferencias Interbancarias Inmediatas de entrada</t>
  </si>
  <si>
    <t>MEMORANDO N° 00000174 - 2025-BN/3116</t>
  </si>
  <si>
    <t>Modificación en la metodología de la capacidad de pago en la admisión del Préstamo Multired</t>
  </si>
  <si>
    <t>Fiorella Galvan / Waldo Basurto</t>
  </si>
  <si>
    <t>Modificación de las secuencias FISA de las Bóvedas de Tránsito BTs Hermes y Prosegur Lima</t>
  </si>
  <si>
    <t>MEMORANDO N° 00000035 - 2026-BN/3131</t>
  </si>
  <si>
    <t>Se devolverá el requerimiento, el alcance del anexo 2 debe ser divido y modificado.</t>
  </si>
  <si>
    <t>Modificación de la Transacciones del cobro del proceso de Emisión y Reposición de Tarjeta de Débito</t>
  </si>
  <si>
    <t>Revisar 3111</t>
  </si>
  <si>
    <t>MN: Proyecto migración y actualización CIIU REV. 4 - apertura de cuentas masivas</t>
  </si>
  <si>
    <t>MEMORANDO N° 00000567 - 2025-BN/3111</t>
  </si>
  <si>
    <t>Migración y actualización de CIIU actual a la codificación CIIU rev4 en la BDUC y  aplicativos bases Fase II - B</t>
  </si>
  <si>
    <t>Estudios Económicos y Financieros</t>
  </si>
  <si>
    <t>Estadistica y Estudios Económicos</t>
  </si>
  <si>
    <t>Migración y actualización de CIIU actual a la codificación CIIU rev4 en la BDUC y  aplicativos bases Fase II - A</t>
  </si>
  <si>
    <t>Merchant Credit</t>
  </si>
  <si>
    <t>FALTA LA FIRMA DEL GERENTE</t>
  </si>
  <si>
    <t>Mejoras Módulo de Inventario Sección Almacén</t>
  </si>
  <si>
    <t>6 mes</t>
  </si>
  <si>
    <t>Servicios</t>
  </si>
  <si>
    <t>Almacen</t>
  </si>
  <si>
    <t>MEMORANDO N° 00000039 - 2026-BN/2627</t>
  </si>
  <si>
    <t>Mejorar la estabilidad operativa de sistema de alertamiento AS VF</t>
  </si>
  <si>
    <t>Prevención del Fraude</t>
  </si>
  <si>
    <t>Monitoreo y Respuesta</t>
  </si>
  <si>
    <t>MEMORANDO N° 00000006 - 2026-BN/2212</t>
  </si>
  <si>
    <t>David Coca</t>
  </si>
  <si>
    <t>Mejorar el Proceso de Apertura de Cuentas masivas e individuales en BDUC</t>
  </si>
  <si>
    <t>MEMORANDO N° 00000362 - 2025-BN/3111</t>
  </si>
  <si>
    <t>mejora integral en el apliucativo SIVC(Sistema de Valores en custodia) Operativo/Legal</t>
  </si>
  <si>
    <t>MEMORANDO N° 00000218 - 2025-BN/3131</t>
  </si>
  <si>
    <t>Jorge Mora</t>
  </si>
  <si>
    <t>Anexo 2 indica evolutivo.</t>
  </si>
  <si>
    <t>Mejora en el otorgamiento de Tarjeta de Crédito</t>
  </si>
  <si>
    <t>Mejora del Reporte 36 - Auditroia Externa</t>
  </si>
  <si>
    <t>Mapeo de códigos status en Esplink" para NCR</t>
  </si>
  <si>
    <t>Mapeo de códigos status en Esplink" para Diebold</t>
  </si>
  <si>
    <t>Mantenimiento de simuladores web de Préstamos Multired, Tarjeta de Crédito y Crédito Hipotecario.</t>
  </si>
  <si>
    <t>Estudios económicos y financieros</t>
  </si>
  <si>
    <t>Estudios Financieros</t>
  </si>
  <si>
    <t>MEMORANDO N° 00000018 - 2026-BN/3443</t>
  </si>
  <si>
    <t>Mantenimiento a la opción en Host para realizar el Cambio de Situación Cuentas Corrientes</t>
  </si>
  <si>
    <t>Administración de Cuentas y Pagaduría</t>
  </si>
  <si>
    <t>MEMORANDO N° 00000216 - 2026 BN/3191</t>
  </si>
  <si>
    <t>Maribel Medina</t>
  </si>
  <si>
    <t>Mandatorio - Reemplazo del Edit Package - Cambio a las tablas ARDEF</t>
  </si>
  <si>
    <t>La estimacion es realizada mediante el correo de maribel del viernes 15/05/2026 17:19
Pendiente de Eavlaución del Usuario.</t>
  </si>
  <si>
    <t>Libro de Reclamaciòn Digital</t>
  </si>
  <si>
    <t>Levantamiento del Secreto Bancario para Extorsionadores - Generación de Información de Canales Virtuales para subida al Big Data</t>
  </si>
  <si>
    <t>Depósitos Judiciales y Administrativos</t>
  </si>
  <si>
    <t>MEMORANDO N° 00000010 - 2026-BN/3212</t>
  </si>
  <si>
    <t>Luis Almeyda</t>
  </si>
  <si>
    <t>Integracion sistema prevencion de fraudes - data lake</t>
  </si>
  <si>
    <t>INCORPORACIÓN DE NUEVAS UNIVERSIDADES NACIONALES EN EL CANAL PÁGALO PE.</t>
  </si>
  <si>
    <t>MEMORANDO N° 00000114 - 2026-BN/3252</t>
  </si>
  <si>
    <t>Jorge Rueda / Angela Rissco</t>
  </si>
  <si>
    <t>Incorporación de cuenta corriente a entidad 0085 Fondo Mi Vivienda Txn 0553</t>
  </si>
  <si>
    <t>MEMORANDO N° 00000272 - 2025- BN/3243</t>
  </si>
  <si>
    <t>Inclusión de Nuevas cuentas contables para las contabilizaciones de tres tipos de custodias de Pagares: IFISGobierno Subnacional y Gobierno Nacional</t>
  </si>
  <si>
    <t>MEMORANDO N° 00000217 - 2025-BN/3131</t>
  </si>
  <si>
    <r>
      <t xml:space="preserve">
</t>
    </r>
    <r>
      <rPr>
        <sz val="11"/>
        <color rgb="FFFF0000"/>
        <rFont val="Calibri"/>
        <family val="2"/>
        <scheme val="minor"/>
      </rPr>
      <t>Recomendación: Falta sello.</t>
    </r>
  </si>
  <si>
    <t>Incidencias con el Seguro desgravamen Crédito Hipotecario</t>
  </si>
  <si>
    <t>Crédito Hipotecario</t>
  </si>
  <si>
    <t>Javier Urquiaga</t>
  </si>
  <si>
    <t>Implementar mandatorio Visa Account Name Inquiry</t>
  </si>
  <si>
    <t>Implementar el servicio de cobranza de la Oficina de Normalizaciòn Previsional - ONP en el canal Ventanilla y Pàgalo.pe (APP y Web) Modalidad: En Linea</t>
  </si>
  <si>
    <t>Jorge Rueda / Fiorella Galvan / Angela Rissco</t>
  </si>
  <si>
    <t>Implementación transacción múltiple tranferencias internas en Saraweb</t>
  </si>
  <si>
    <t>MEMORANDO N° 00000213 - 2026 BN/3191</t>
  </si>
  <si>
    <t>Implementación transacción múltiple para adelanto, prepago o cancelación de Préstamos Multired, Crédito Hipotecario o pago de Tarjeta de Crédito.</t>
  </si>
  <si>
    <t>MEMORANDO N° 00000214 - 2026 BN/3191</t>
  </si>
  <si>
    <t>Implementación modalidad cobranza en línea de la Empresa de Electricidad Electro Sur Tacna. l 19.06.2025</t>
  </si>
  <si>
    <t>5 meses</t>
  </si>
  <si>
    <t>MEMORANDO N° 00000025 - 2026-BN/3243</t>
  </si>
  <si>
    <t>Dependencia nuevo Hub de Arquitectura</t>
  </si>
  <si>
    <t>Implementación del RADI en su FASE II – Integración con los Sistemas del Banco para la comercialización de Seguros Optativos</t>
  </si>
  <si>
    <t xml:space="preserve">Banca Seguros </t>
  </si>
  <si>
    <t>MEMORANDO N° 00000024 - 2026-BN3345</t>
  </si>
  <si>
    <t xml:space="preserve">Implementación del Contactless en el Switch Stratus </t>
  </si>
  <si>
    <t>Implementación de nueva modalidad de pago con POS en Págalo</t>
  </si>
  <si>
    <t>MEMORANDO N° 00000539 - 2025-BN/3252</t>
  </si>
  <si>
    <t>Implementación de la transacción 0280 "Identificación biométrica del cliente" en Saraweb como paso previo a la transacción 4509 "Afiliación a la clave dinámica".</t>
  </si>
  <si>
    <t>Se coordinó con Rossana Rojas</t>
  </si>
  <si>
    <t>Homologación del proceso de bloqueos automaticos , entre cuentas de ahorros , cuentas ctes UOB y cuentas de proveedores</t>
  </si>
  <si>
    <t>MEMORANDO N° 00000549 - 2026-BN/3191</t>
  </si>
  <si>
    <r>
      <t xml:space="preserve">
</t>
    </r>
    <r>
      <rPr>
        <sz val="11"/>
        <color rgb="FFFF0000"/>
        <rFont val="Calibri"/>
        <family val="2"/>
        <scheme val="minor"/>
      </rPr>
      <t xml:space="preserve">Recomendación: Falta sello. </t>
    </r>
  </si>
  <si>
    <t>Homologación de códigos de denegación</t>
  </si>
  <si>
    <t>Homogenizar los horarios de corte de los diversos canales de atención para las 00: horas -Procesos Next Day</t>
  </si>
  <si>
    <t>MEMORANDO N° 00000208 - 2026 BN/3191</t>
  </si>
  <si>
    <t>Evaluar la propuesta de Izipay relacionado a los cambios, entrega y recepción de interfaces de tarjeta entre BN - Izipay  / izipay -BN (Responsable área usuaria y producción). Area usuaria gestionará una reunión para planificar su atención.</t>
  </si>
  <si>
    <t>Habilitar transacción en Saraweb para transferencias interbancarias inmediatas vía CCE con cargo a cuentas de ahorros</t>
  </si>
  <si>
    <t>MEMORANDO N° 00000111 - 2025-BN/3116</t>
  </si>
  <si>
    <t>Rossana Rojas
Marilu Cordova</t>
  </si>
  <si>
    <t>Opinión de Arquitectura e Infraestuctura y seguridad por el orquestador con Novatronic.
Normativo. Sellado.</t>
  </si>
  <si>
    <t>Habilitar transacción en Saraweb para Pago Inmediato de Tarjetas de Crédito de Otros Bancos vía CCE con cargo a cuentas de ahorros</t>
  </si>
  <si>
    <t>MEMORANDO N° 00000115 - 2025-BN/3116</t>
  </si>
  <si>
    <t>Rossana Rojas /
Marilu Cordova</t>
  </si>
  <si>
    <t>El área usuario deberá de gestionar con Novatronic los cambios SIX ( el dueño del servicio tiene que entregar a Rossana)
Normativo. Sellado.</t>
  </si>
  <si>
    <t>Grabar códigos TRACE de Transferencias Interbancarias Inmediatas en reporte diario DPAH4050 y archivos de ahorros TPF24, DPF27 y DPF47.</t>
  </si>
  <si>
    <t>MEMORANDO N° 00000134 - 2025-BN/3116</t>
  </si>
  <si>
    <t xml:space="preserve">
Anexo 2 indica evolutivo. - Pre requisito con Mario Carbajo Told.</t>
  </si>
  <si>
    <t>Generar Proceso Automatico de inactivación de cheques de Gerencia MN,ME vigentes con mas de un año de emisión</t>
  </si>
  <si>
    <t>Soporte Servicios Financieros</t>
  </si>
  <si>
    <t>MEMORANDO N° 00000035 - 2026-BN/3241</t>
  </si>
  <si>
    <t xml:space="preserve">Waldo Basurto </t>
  </si>
  <si>
    <t>Generación del Reporte Crediticio de Avales de Préstamo Multired</t>
  </si>
  <si>
    <t>Generación de archivos Planos para desembolso, Recupero y Stock de creditos de la Cartera Banca de Gobierno e IFI's de los aplicativos CRPP - CRMY</t>
  </si>
  <si>
    <t>MEMORANDO N° 00000016 - 2026-BN/3241</t>
  </si>
  <si>
    <t>Funcionalidad en Canales App Banca Móvil y Multired Virtual para activar y desactivar las notificaciones enviadas a los clientes mediante mensaje SMS por abonos de Transferencias Interbancarias Inmediatas desde otras Entidades Financieras</t>
  </si>
  <si>
    <t>MEMORANDO N° 00000170 - 2025-BN/3116</t>
  </si>
  <si>
    <t>Facturación electrónica del producto crédito Hipotecario fase 2</t>
  </si>
  <si>
    <t>Extensión período compensacion una autorización (ciertas transacciones CNP)</t>
  </si>
  <si>
    <t xml:space="preserve">4 meses </t>
  </si>
  <si>
    <t>MEMORANDO N° 00000093 - 2026-BN/3252</t>
  </si>
  <si>
    <t>Exportar Data de esquemas  BN_SIMM y BN_SIMS a Big Data y brindar acceso para atención de pedidos INDECOPI</t>
  </si>
  <si>
    <t xml:space="preserve">El mantenimiento ayudará a un adecuado registro, seguimiento y control de las líneas de crédito aprobadas que otorga el Banco a las Entidades Públicas del Gobierno Nacional y Bancos Corresponsales del Exterior. </t>
  </si>
  <si>
    <t>Administración y Garantia</t>
  </si>
  <si>
    <t>MEMORANDO N° 00000007 - 2026-BN/3215</t>
  </si>
  <si>
    <t>Diferenciar el tipo de comisión que aplica a los  movimientos de ctas de ahorros (Consulta de Saldos, consulta de movimientos y retiro) realizados en cajeros automaticos, lo cual debe plasmar en las consultas de movimiento y los estados de cuenta.</t>
  </si>
  <si>
    <t>MEMORANDO N° 00000205 - 2026-BN/3191</t>
  </si>
  <si>
    <t>Norma coordinará con Valdimir es por atm.
Anexo 2 dice correctivo</t>
  </si>
  <si>
    <t>Devolución de fondos a cuentas de origen por Transferencias Interbancarias Inmediatas no abonadas en cuentas de destino</t>
  </si>
  <si>
    <t>MEMORANDO N° 00000179 - 2025-BN/3116</t>
  </si>
  <si>
    <t>Intervien Novatronic.
Es incidencia. Anexo 2 indica correctivo.</t>
  </si>
  <si>
    <t>Creación de Un valor en la condición laboral de BDUC, para otorgar créditos cosumo e hipotecario a clientes CAS y adecuaciones al SACH</t>
  </si>
  <si>
    <t>Norma Fukunaga / Johnny Rocca</t>
  </si>
  <si>
    <t>En el anexo 2 no describen las reglas de negocio definidas para los créditos de consumo Prestamos Multired y Tarjetas de Crédito.</t>
  </si>
  <si>
    <t>Revisar 3324</t>
  </si>
  <si>
    <t>Corrección reporte 2A1 Plazo residual crédito hipotecario en patrimonio efectivo riesgo de crédito</t>
  </si>
  <si>
    <t>Corrección en reporte de registros de notificación de los esquemas BN_SIMM y BN_SIMS para operaciones por transferencia interbancaria inmediata (línea y contacto)  través del canal Multired Virtual</t>
  </si>
  <si>
    <t>Control diario de saldos a nivel contable, operativo y del facturador por el cobro de comisiones por desembolso y recupero del servicio de locales compartidos IFIs.</t>
  </si>
  <si>
    <t>MEMORANDO N° 00000018 - 2026-BN/3241</t>
  </si>
  <si>
    <t>Normativo: Falta sello.</t>
  </si>
  <si>
    <t>Control de Cuentas habilitadas en Agencia o Canales Digitales</t>
  </si>
  <si>
    <t>MEMORANDO N° 00000582 - 2025-BN/3111</t>
  </si>
  <si>
    <t>Concurrente automático - BN Generación archivo maestro de Cheques</t>
  </si>
  <si>
    <t>Pagos</t>
  </si>
  <si>
    <t>MEMORANDO N° 00000009 - 2026-BN/6213</t>
  </si>
  <si>
    <t>Compra en Terreno y Construcción en Terreno propio</t>
  </si>
  <si>
    <t>Javier Urquiaga / Jhonny Rocca</t>
  </si>
  <si>
    <t>Clientes No Aceptados por Actividad Económica en BDUC - Optimización del campo Actividad Económica</t>
  </si>
  <si>
    <t>Prevención</t>
  </si>
  <si>
    <t>MEMORANDO N° 00000043 - 2026-BN/1202</t>
  </si>
  <si>
    <t>Tiene dependencia con vulnerabilidad por atender.</t>
  </si>
  <si>
    <t>Checkbox para aceptacion de politica de datos personales en app</t>
  </si>
  <si>
    <t>CARGA DE VALIDACIONES BIOMÉTRICAS (SFTP - TOC) HACIA DATA LAKE DE FRAUDES</t>
  </si>
  <si>
    <t>MEMORANDO N° 00000113 - 2026-BN/3252</t>
  </si>
  <si>
    <t>Luis Almeida / Denis Herrera</t>
  </si>
  <si>
    <t>Carga de activos fijos 100% depreciados</t>
  </si>
  <si>
    <t>MEMORANDO N° 00000060 - 2026-BN/2639</t>
  </si>
  <si>
    <t>Cambios en VAU para procesar Credit Voucher y Merchandise Return</t>
  </si>
  <si>
    <t>Cambios en políticas de Tarjeta de Crédito</t>
  </si>
  <si>
    <t>Cambios en manejo del "New Enabler Verification Value Field"</t>
  </si>
  <si>
    <t>Cambios en la configuración del tamaño máximo de archivo base II</t>
  </si>
  <si>
    <t>MEMORANDO N° 00000012 - 2026-BN/3252</t>
  </si>
  <si>
    <t>22/05/2026 En reunión con el área usuaria se informó que el anexo referenciado debe ser actualizado y dividido
No tiene definido Orden de Atención - Pendiente de Evaluación del  Usuario.</t>
  </si>
  <si>
    <t>Cambio de plataforma izipay pasarela de pagos</t>
  </si>
  <si>
    <t>MEMORANDO N° 00000118 - 2026-BN/3252</t>
  </si>
  <si>
    <t>Bloqueo de Tarjetas de Crédito por sobreendeudamiento.</t>
  </si>
  <si>
    <t>Evaluación de Cartera de Créditos</t>
  </si>
  <si>
    <t>Memorando 008-2026-BN/219</t>
  </si>
  <si>
    <t>Automatización Proceso Retroalimentación de Alertamiento AS VF</t>
  </si>
  <si>
    <t>9 meses</t>
  </si>
  <si>
    <t>MEMORANDO N° 00000008 - 2026-BN/2212</t>
  </si>
  <si>
    <t>Automatizacion de Registro de Gastos Judiciales/procesales para prestamos multired, tarjeta de crédito y créditos hipotecarios</t>
  </si>
  <si>
    <t>MEMORANDO N° 00000014 - 2026-BN/3241</t>
  </si>
  <si>
    <t>Fiorella Galván / Javier Urquiaga</t>
  </si>
  <si>
    <r>
      <t xml:space="preserve">El requerimiento debe ser dividido porque corresponde a  tres aplicaciones diferentes - PRAH /SITC/CRHP.
</t>
    </r>
    <r>
      <rPr>
        <sz val="11"/>
        <color rgb="FFFF0000"/>
        <rFont val="Calibri"/>
        <family val="2"/>
        <scheme val="minor"/>
      </rPr>
      <t>Normativo: Falta sello.</t>
    </r>
  </si>
  <si>
    <t>Aumentar el monto máximo de desembolso de préstamos para los trabajadores mayores de 60 años, hasta S/60 mil</t>
  </si>
  <si>
    <t>Atender  campos  62.4 - Tag 83  cambios para admitir la Autorización Extendida</t>
  </si>
  <si>
    <t>La estimacion es realizada mediante el correo de maribel del viernes 15/05/2026 17:19
22/05/2026 En reunión con el área usuaria se informó que el anexo referenciado debe ser actualizado y dividido
Tenía fecha de inicio 22/09/2026 pero no tiene anexo</t>
  </si>
  <si>
    <t>Atender  campos  54, verificar el saldo de la cuenta anetes de solicitar la aprobacion</t>
  </si>
  <si>
    <t>La estimacion es realizada mediante el correo de maribel del viernes 15/05/2026 17:19
22/05/2026 En reunión con el área usuaria se informó que el anexo referenciado debe ser actualizado y dividido
Tenía fecha de inicio 20/10/2026 pero no tiene anexo</t>
  </si>
  <si>
    <t>Atender  campos  126.18 Clearing field 104  Visa implementará cambios para soportar la nueva Verificación Habilitadora</t>
  </si>
  <si>
    <t>Ampliación a BIN ó digital</t>
  </si>
  <si>
    <t>La estimacion es realizada mediante el correo de maribel del viernes 15/05/2026 17:19
22/05/2026 En reunión con el área usuaria se informó que el anexo referenciado debe ser actualizado y dividido
Pendiente de Evaluación del Usuario</t>
  </si>
  <si>
    <t>Adición de las comisiones generadas por emision, anulacion y pagos por facturación electrónica</t>
  </si>
  <si>
    <t>MEMORANDO N° 00000015 - 2026-BN/3241</t>
  </si>
  <si>
    <t xml:space="preserve">
Anexo 2 dice evolutivo.</t>
  </si>
  <si>
    <t>Adicion de campos en tx de Cheque de Gerencia(SARAWEB) para el cumplimiento de la facturación electrónica</t>
  </si>
  <si>
    <t>MEMORANDO N° 00000027 - 2026-BN/3241</t>
  </si>
  <si>
    <t>Adecuaciones y Reportes Consolidación de Deuda de Préstamo Multired</t>
  </si>
  <si>
    <t>Adecuaciones Préstamos Multired a CAS Indeterminado</t>
  </si>
  <si>
    <t>Adecuacion a la transaccion de reposicion de tarjeta en el Saraweb para el no cobro de comision en casos de cierre masivo por fraudes o retencion por errores no atribuibles a clientes.</t>
  </si>
  <si>
    <t>Actualización del Portal de Información:
• SBS-RRCC - Consolidado de Rectificaciones</t>
  </si>
  <si>
    <t>Estados Financieros e Informes Contables</t>
  </si>
  <si>
    <t>MEMORANDO N° 00000005 -2026-BN/6214</t>
  </si>
  <si>
    <t>Paul Alminagorta</t>
  </si>
  <si>
    <t>Depende de req: 2025-M0765 Pospuesto por recursos</t>
  </si>
  <si>
    <t>Actualización del aplicativo SIAT (Sistema de Administración de Tarjeta), a fin de poder atender los reclamos de los cliente y cumplir con la Resolución 6253 - SBS</t>
  </si>
  <si>
    <t xml:space="preserve">Falta la firma de Cumplimiento Normativo </t>
  </si>
  <si>
    <t>Actualización Campo Centro de Labores Tx 1115 en Saraweb y BDUC</t>
  </si>
  <si>
    <t>MEMORANDO N° 00000013 - 2026-BN/1202</t>
  </si>
  <si>
    <t>Aceptar autorizaciones parciales en línea y aceptar autenticaciones digitales para operaciones con tarjeta no presente</t>
  </si>
  <si>
    <t>No tiene Anexo 2</t>
  </si>
  <si>
    <t>Revisar 1326</t>
  </si>
  <si>
    <t>Aceptacion de notificaciones en el app</t>
  </si>
  <si>
    <t>Aceptación campo 34 para DAF</t>
  </si>
  <si>
    <t>MEMORANDO N° 00000036 - 2026-BN/3252</t>
  </si>
  <si>
    <t>Backlog  ID 3189</t>
  </si>
  <si>
    <t xml:space="preserve"> SARE Internet</t>
  </si>
  <si>
    <t>Atención de Reclamos</t>
  </si>
  <si>
    <t>MEMORANDO N° 00000054 - 2026-BN/7840</t>
  </si>
  <si>
    <t>Evelin  Ribbeck</t>
  </si>
  <si>
    <t xml:space="preserve"> Actualización de las comisiones del servicio de recaudación por canal. </t>
  </si>
  <si>
    <t>MEMORANDO N° 00000023 - 2026-BN/3243</t>
  </si>
  <si>
    <t>El área usuaria debe de elaborar un Modelo de Negocio y tendría que ser inscrito como proyecto.
Se acordó devolver el memorando para que remitan el modelo de Negocio.</t>
  </si>
  <si>
    <t>Cobro de pagos parciales y prelación por antiguedad para créditos por vencer o vencidos del producto Préstamos Multired - 1</t>
  </si>
  <si>
    <t>Cobranzas y recuperaciones</t>
  </si>
  <si>
    <t>Canales y negociación</t>
  </si>
  <si>
    <t>MEMORANDO N° 00000014 - 2026-BN/2222</t>
  </si>
  <si>
    <t>Cobro de pagos parciales y prelación por antiguedad para créditos por vencer o vencidos del producto Préstamos Multired - 2</t>
  </si>
  <si>
    <t>MEMORANDO N° 00000013 - 2026-BN/2222</t>
  </si>
  <si>
    <t>Tamaño Requerimiento</t>
  </si>
  <si>
    <t>Fecha Registro</t>
  </si>
  <si>
    <t>Fin Desarrollo Manual</t>
  </si>
  <si>
    <t>Comienzo Calidad Manual</t>
  </si>
  <si>
    <t>Fin Calidad Manual</t>
  </si>
  <si>
    <t>Comienzo Producción Manual</t>
  </si>
  <si>
    <t>Fin Producción Manual</t>
  </si>
  <si>
    <t>ABRE TU CUENTA EN LINEA  - CUENTAS DETRACCIONES PERSONAS JURIDICAS</t>
  </si>
  <si>
    <t>Adecuación 0509 Formulario de Prevención de Lavado de dinero e Información adicional 16 10 2019 adecuar nombre y adecuación</t>
  </si>
  <si>
    <t>Adicionar campos nro. doc. sustento y expediente judicial (Trx 2200 Emisión de certificado en MN y ME)</t>
  </si>
  <si>
    <t>Aplicar IA en elaboración de TDR y EETT</t>
  </si>
  <si>
    <t>Asegurar Rango de Cuentas de Ahorro</t>
  </si>
  <si>
    <t xml:space="preserve">Automatización de Cuadro Multianual de necesidades </t>
  </si>
  <si>
    <t>Canal de atención WhatsApp Quina BN</t>
  </si>
  <si>
    <t>Cobro de Pagos Parciales  y prelación por antiguedad  para prestmos Multired  y credito Hipotecario</t>
  </si>
  <si>
    <t>FASE 2 MEJORAS Y CORRECCIONES AL RO - AUDITORIA</t>
  </si>
  <si>
    <t>Implementar expediente 100% digital compras menores</t>
  </si>
  <si>
    <t>Implementar gestor documental</t>
  </si>
  <si>
    <t xml:space="preserve">Implementar la mesa digital y carpeta ciudana </t>
  </si>
  <si>
    <t>Incidencia Journal Diebold</t>
  </si>
  <si>
    <t>Incidencias con Pagalo, monitor, demonio</t>
  </si>
  <si>
    <t>LLENADO DE FORMULARIO PARA TRANSACCIONES DE PAGOS DE FACTURAS C/S BASE DE DATOS</t>
  </si>
  <si>
    <t>Migración de Datos  hacia el BigData -Hito 1  Productos pasivos</t>
  </si>
  <si>
    <t>Personalización de Journal Diebold</t>
  </si>
  <si>
    <t>Proyecto Migración y Optimización de la Aplicación BDUC</t>
  </si>
  <si>
    <t>Reporte de Accesos al Sistema Emulación</t>
  </si>
  <si>
    <t>Reporte de trazabilidad y validación criptográfica para el canal Agentes - Indecopi</t>
  </si>
  <si>
    <t>Reporte de trazabilidad y validación criptográfica para el canal ATMs - Indecopi</t>
  </si>
  <si>
    <t>Requerimiento Proyecto y Optimización de la aplicación SACH</t>
  </si>
  <si>
    <t>Servicio de desarrollo e implementación de un sistema de gestión de contenidos (CMS) para el Portal Interno del Banco de la Nación</t>
  </si>
  <si>
    <t xml:space="preserve">Sistema de Seguimiento de Medidas Correctivas (SSMC) - Correctivo </t>
  </si>
  <si>
    <t>VISA Mandatorio - Implementacion de AFT VISA DIRECT</t>
  </si>
  <si>
    <t>Actualizacion del aplicativo SIAT 2026</t>
  </si>
  <si>
    <t>Corrección de anomalía en cargos recurrentes - Tarjeta Vencida</t>
  </si>
  <si>
    <t>INFORME</t>
  </si>
  <si>
    <t># Iniciativas</t>
  </si>
  <si>
    <t>(Varios elementos)</t>
  </si>
  <si>
    <t>Sin Fecha</t>
  </si>
  <si>
    <t>🔴 Vencido</t>
  </si>
  <si>
    <t>🔵 Sin Fecha</t>
  </si>
  <si>
    <t>🟠 Por vencer</t>
  </si>
  <si>
    <t>Sin esfuerzo</t>
  </si>
  <si>
    <t>TablaDinámica7</t>
  </si>
  <si>
    <t>feriados 2027 y 2028</t>
  </si>
  <si>
    <t>Festivo</t>
  </si>
  <si>
    <t>Fecha</t>
  </si>
  <si>
    <t>Gerencias</t>
  </si>
  <si>
    <t>AÑO NUEVO</t>
  </si>
  <si>
    <t>Tecnologías de Información</t>
  </si>
  <si>
    <t>DÍA NO LABORABLE SECTOR PÚBLICO</t>
  </si>
  <si>
    <t>JUEVES Y VIERNES SANTOS</t>
  </si>
  <si>
    <t>DÍA DEL TRABAJO</t>
  </si>
  <si>
    <t>SAN PEDRO Y SAN PABLO</t>
  </si>
  <si>
    <t xml:space="preserve">Administración y Logistica </t>
  </si>
  <si>
    <t>INDEPENDENCIA DEL PERÚ</t>
  </si>
  <si>
    <t>Comunicaciones y Relaciones Institucionales</t>
  </si>
  <si>
    <t>CELEBRACIÓN DE LA INDEPENDENCIA</t>
  </si>
  <si>
    <t>SANTA ROSA DE LIMA</t>
  </si>
  <si>
    <t>COMBATE DE ANGAMOS</t>
  </si>
  <si>
    <t>Oficialía de Cumplimiento Normativo y Conducta de Mercado</t>
  </si>
  <si>
    <t>Recursos Humanos</t>
  </si>
  <si>
    <t>TODOS LOS SANTOS</t>
  </si>
  <si>
    <t>Legal</t>
  </si>
  <si>
    <t>Planeamiento y control de Gestión</t>
  </si>
  <si>
    <t>INMACULADA CONCEPCIÓN</t>
  </si>
  <si>
    <t>NAVIDAD</t>
  </si>
  <si>
    <t>Jueves Santo</t>
  </si>
  <si>
    <t>Viernes santo</t>
  </si>
  <si>
    <t>Batalla Arica</t>
  </si>
  <si>
    <t>Día fuerza aerea del Perú</t>
  </si>
  <si>
    <t>Batalla de Junín</t>
  </si>
  <si>
    <t>Batalla de Ayacucho</t>
  </si>
  <si>
    <t>Navidad</t>
  </si>
  <si>
    <t>Año nuevo</t>
  </si>
  <si>
    <t>jueves santo</t>
  </si>
  <si>
    <t>Día del Trabajo</t>
  </si>
  <si>
    <t>Batalla de Arica</t>
  </si>
  <si>
    <t>San Pedro y San Pablo</t>
  </si>
  <si>
    <t>Día de la Fuerza Aérea del Perú</t>
  </si>
  <si>
    <t>Día de la Independencia Nacional</t>
  </si>
  <si>
    <t>Gran Parada Cívico Militar</t>
  </si>
  <si>
    <t>Santa Rosa de Lima</t>
  </si>
  <si>
    <t>Combate de Angamos</t>
  </si>
  <si>
    <t>Día de Todos los Santos</t>
  </si>
  <si>
    <t>Inmaculada Concepción</t>
  </si>
  <si>
    <t>Tiempo (días) por tamaño</t>
  </si>
  <si>
    <t>Tiempo (mes) por tamaño</t>
  </si>
  <si>
    <t>Etapa</t>
  </si>
  <si>
    <t>Tiempo</t>
  </si>
  <si>
    <t>Falta algún tema que aclarar con el área usuaria por lo que aún no se define cronograma</t>
  </si>
  <si>
    <t>Desarrollo</t>
  </si>
  <si>
    <t>Pendiente de atención</t>
  </si>
  <si>
    <t>Se revisó, estimó el esfuerzo y se coordinaron fechas estimadas para el inicio, estaría pendiente que el equipo de construcción autorice el inicio de atención.</t>
  </si>
  <si>
    <t>Calidad</t>
  </si>
  <si>
    <t xml:space="preserve"> 2-3</t>
  </si>
  <si>
    <t>Producción</t>
  </si>
  <si>
    <t xml:space="preserve"> 4-5</t>
  </si>
  <si>
    <t>Requerimiento que aún no fue evaluado por el equipo de Construcción</t>
  </si>
  <si>
    <t xml:space="preserve"> 6-7</t>
  </si>
  <si>
    <t>Se descarto la iniciativa por duplicidad, etc.</t>
  </si>
  <si>
    <t>&gt;= 8</t>
  </si>
  <si>
    <t>Atendido</t>
  </si>
  <si>
    <t>Ya está procesado.</t>
  </si>
  <si>
    <t>En proceso</t>
  </si>
  <si>
    <t>Tiene trámite o mantenimiento en la Demanda Táctica</t>
  </si>
  <si>
    <t xml:space="preserve">Descripción de reglas propuesta para la creación de un cronograma estimado:  </t>
  </si>
  <si>
    <t xml:space="preserve">Pequeño (P) : Son los requerimiento que por lo general se podrían atender dentro de los 30 días hábiles posterior a la creación del trámite (el tiempo incluiría los tiempos de planificación y gestión administrativa del equipo de Construcción). 
Mediano (M): Son los requerimiento que por lo general se podrían atender dentro de los 45 días hábiles posterior a la creación del trámite (el tiempo incluiría los tiempos de planificación y gestión administrativa del equipo de Construcción). 
Grande (G): Son los requerimiento que por lo general se podrían atender dentro de los 60 días hábiles posterior a la creación del trámite  (el tiempo incluiría los tiempos de planificación y gestión administrativa del equipo de Construcción). </t>
  </si>
  <si>
    <t xml:space="preserve">Fecha de Inicio – Desarrollo: Se debería de considerar de manera automática 5 días después de la creación del número de trámite en el CQ. (Con ello aseguraremos el tiempo que podría tomar la creación del mantenimiento y aplicaría para los casos de aquellos requerimientos que solo se quedan con el número de trámite, por los requerimientos rutinarios). </t>
  </si>
  <si>
    <t xml:space="preserve">Fecha Fin – Desarrollo: Se generará de manera automática en función al tamaño del requerimiento. Este campo debe de permitir editar las veces que sean necesario en coordinación con el equipo de Construcción. El campo deberían de permitir poner una fecha anterior o posterior a la planificada. (servirá para aquellos requerimientos que culminan antes de la fecha estimada). </t>
  </si>
  <si>
    <t>Pequeño: 1 mes</t>
  </si>
  <si>
    <t>Mediano:  2-3 meses</t>
  </si>
  <si>
    <t>Grande: 4-5 meses</t>
  </si>
  <si>
    <t>Extra Grande: 6-7 meses</t>
  </si>
  <si>
    <t>Proyecto: Desde 8 meses</t>
  </si>
  <si>
    <t>30 días</t>
  </si>
  <si>
    <t>66 días</t>
  </si>
  <si>
    <t>110 días</t>
  </si>
  <si>
    <t>154 días</t>
  </si>
  <si>
    <t>176 días</t>
  </si>
  <si>
    <t xml:space="preserve">Fecha Inicio – Calidad. Se generará de manera automática en función a la fecha fin de Desarrollo + 5 días.  </t>
  </si>
  <si>
    <t xml:space="preserve">Fecha Fin - Calidad, Se generará de manera automática en función al tamaño del requerimiento (30 días hábiles para pequeños, 40 días hábiles para medianos y grandes). Este campo debe de permitir editar las veces que sean necesario en coordinación con el equipo de Calidad.. El campo deberían de permitir poner una fecha anterior o posterior a la planificada. (servirá para aquellos requerimientos que culminan antes de la fecha estimada). </t>
  </si>
  <si>
    <t>Grandes y demás</t>
  </si>
  <si>
    <t>40 días</t>
  </si>
  <si>
    <t>50 días</t>
  </si>
  <si>
    <t xml:space="preserve">Fecha Inicio - Producción,  Se generará de manera automática en función a la fecha fin de Calidad + 5 días. </t>
  </si>
  <si>
    <t xml:space="preserve">Fecha Fin – Producción, Se generará de manera automática (+5 días hábiles, para todos los casos). Este campo debe de permitir editar las veces que sean necesario en coordinación con el equipo de Producción. El campo deberían de permitir poner una fecha anterior o posterior a la planificada. (servirá para aquellos requerimientos que culminan antes de la fecha estimada). </t>
  </si>
  <si>
    <t>Pequeño: 5 días</t>
  </si>
  <si>
    <t>Mediano: 5 días</t>
  </si>
  <si>
    <t>Grandes y demás: 10 días</t>
  </si>
  <si>
    <t>El tiempo de desarrollo: Máximo 6 meses, sino sería proyecto, y habría un cronograma para proyectos.</t>
  </si>
  <si>
    <t>Alertar al analista --&gt; Macros. Esta semana se está venciendo este requerimiento.</t>
  </si>
  <si>
    <t>Versión</t>
  </si>
  <si>
    <t>¿Qué se realizó?</t>
  </si>
  <si>
    <t>¿Qué estuvo que se eliminó en la siguiente versión?</t>
  </si>
  <si>
    <t>Correo de solicitud</t>
  </si>
  <si>
    <t>Link Versión</t>
  </si>
  <si>
    <t>V1</t>
  </si>
  <si>
    <t>Estuvo en esta versión y se eliminó en la versión actual</t>
  </si>
  <si>
    <t>Descartados, en proceso y atendidos</t>
  </si>
  <si>
    <t>Gestión de Demanda - RE Iniciativas Descartados.msg - Todos los documentos</t>
  </si>
  <si>
    <t>Backup Propuesta de Cronograma Iniciativas 2026 - Proceso y Atentidos V1.xlsx</t>
  </si>
  <si>
    <t>V2</t>
  </si>
  <si>
    <t>(Gestor TI lo indicó verbalmente)</t>
  </si>
  <si>
    <t>Backup Propuesta de Cronograma Iniciativas 2026 V2.xlsx</t>
  </si>
  <si>
    <t>V3</t>
  </si>
  <si>
    <t>Gestión de Demanda - RV Iniciativas.msg - Todos los documentos</t>
  </si>
  <si>
    <t>Backup Propuesta de Cronograma Iniciativas 2026_V3.xlsx</t>
  </si>
  <si>
    <t>V4</t>
  </si>
  <si>
    <t>Gestión de Demanda - RV INICIATIVAS DE LA SECCIÓN CANALES VIRTUALES - BANCA DIGITAL.msg - Todos los documentos</t>
  </si>
  <si>
    <t>Backup Propuesta de Cronograma Iniciativas 2026 V4.xlsx</t>
  </si>
  <si>
    <t>V5</t>
  </si>
  <si>
    <t>Reporte de trazabilidad y validación criptográfica para el canal ATMs - Indecopi
Reporte de trazabilidad y validación criptográfica para el canal Agentes - Indecopi
Personalización de Journal Diebold
Incidencia Journal Diebold</t>
  </si>
  <si>
    <t>Gestión de Demanda - RE Banca Digital Archivo Propuesta de Cronograma Iniciativas 2026.msg - Todos los documentos</t>
  </si>
  <si>
    <t>Backlup Propuesta de Cronograma Iniciativas 2026 V5.xlsx</t>
  </si>
  <si>
    <t>V6</t>
  </si>
  <si>
    <t>Implementación API REST - Migración de Pago de Servicios
Requerimiento Proyecto y Optimización de la aplicación SACH
Proyecto Migración y Optimización de la Aplicación BDUC</t>
  </si>
  <si>
    <t>Gestión de Demanda - RV Iniciativas TI.msg - Todos los documentos</t>
  </si>
  <si>
    <t>Backup Propuesta de Cronograma Iniciativas 2026 V6.xlsx</t>
  </si>
  <si>
    <t>V7</t>
  </si>
  <si>
    <t>No estuvo y se agregó a la versión actual</t>
  </si>
  <si>
    <t>CARGA DE VALIDACIONES BIOMÉTRICAS (SFTP - TOC) HACIA DATA LAKE DE FRAUDES
INCORPORACIÓN DE NUEVAS UNIVERSIDADES NACIONALES EN EL CANAL PÁGALO PE.
Solicitud de Notificaciones
Corrección de anomalía en cargos recurrentes - Tarjeta Vencida
Reporte de accesos al sistema de Emulación - DA00
Implementación de nueva modalidad de pago con POS en Págalo
Cambios en la configuración del tamaño máximo de archivo base II
Reporte NRT Control del Fraude
Actualizacion del aplicativo SIAT 2026</t>
  </si>
  <si>
    <t>Gestión de Demanda - RV INCIATIVAS GERENCIA BANCA DIGITAL.msg - Todos los documentos</t>
  </si>
  <si>
    <t>Backup Propuesta de Cronograma Iniciativas 2026 V7.xlsx</t>
  </si>
  <si>
    <t>V8</t>
  </si>
  <si>
    <t>Gestión de Demanda - RV Nueva iniciativa con prioridad 1.msg - Todos los documentos</t>
  </si>
  <si>
    <t>Backup Propuesta de Cronograma Iniciativas 2026 V8.xlsx</t>
  </si>
  <si>
    <t>V9</t>
  </si>
  <si>
    <t>Gestión de Demanda - RV Reemplazo de Anexo2 en el mantenimiento Enrolamiento en línea 2da parte Migración BD y reportería.msg - Todos los documentos</t>
  </si>
  <si>
    <t>Backup Propuesta de Cronograma Iniciativas 2026 V9.xlsx</t>
  </si>
  <si>
    <t>V10</t>
  </si>
  <si>
    <t>LLENADO DE FORMULARIO PARA TRANSACCIONES DE PAGOS DE FACTURAS C/S BASE DE DATOS
FASE 2 MEJORAS Y CORRECCIONES AL RO - AUDITORIA
Adecuación 0509 Formulario de Prevención de Lavado de dinero e Información adicional 16 10 2019 adecuar nombre y adecuación</t>
  </si>
  <si>
    <t>Gestión de Demanda - RV MEMORANDO N 00000001 - 2026-BN1201 - Requerimientos de Mejoras en Registro de Operaciones .msg - Todos los documentos</t>
  </si>
  <si>
    <t>Backup Propuesta de Cronograma Iniciativas 2026 V10.xlsx</t>
  </si>
  <si>
    <t>V11</t>
  </si>
  <si>
    <t>Gestión de Demanda - RV Requerimiento Adicionar campos nro. doc. sustento y expediente judicial (Trx 2200 Emisión de certificado en MN y ME)..msg - Todos los documentos</t>
  </si>
  <si>
    <t>Backup Propuesta de Cronograma Iniciativas 2026 V11.xlsx</t>
  </si>
  <si>
    <t>V12</t>
  </si>
  <si>
    <t>Mejoras en la Tx 0208 – Cuadre de Caja MN/ME</t>
  </si>
  <si>
    <t>Gestión de Demanda - RE Se agrego nueva iniciativa Red de Agencias.msg - Todos los documentos</t>
  </si>
  <si>
    <t>Backup Propuesta de Cronograma Iniciativas 2026 V12.xlsx</t>
  </si>
  <si>
    <t>V13</t>
  </si>
  <si>
    <t>Reporte de Clientes con clave de internet
Cambio de plataforma izipay pasarela de pagos</t>
  </si>
  <si>
    <t>Gestión de Demanda - INICIATIVAS BANCA DIGITAL.msg - Todos los documentos</t>
  </si>
  <si>
    <t>Backup Propuesta de Cronograma Iniciativas 2026 V13.xlsx</t>
  </si>
  <si>
    <t>V14</t>
  </si>
  <si>
    <t>Gestión de Demanda - RV Atención de la Iniciativa - Recomendación Mejoras en la Tx 0208 Cuadre de Caja .msg - Todos los documentos</t>
  </si>
  <si>
    <t>Backup Propuesta de Cronograma Iniciativas 2026 V14.xlsx</t>
  </si>
  <si>
    <t>V15</t>
  </si>
  <si>
    <t>Corrección de anomalía en cargos recurrentes - Tarjeta Vencida
Incidencias con Pagalo, monitor, demonio
Reporte de Accesos al Sistema Emulación</t>
  </si>
  <si>
    <t>Gestión de Demanda - Retiro de Lista de Iniciativas.msg - Todos los documentos</t>
  </si>
  <si>
    <t>Backup Propuesta de Cronograma Iniciativas 2026 V15.xlsx</t>
  </si>
  <si>
    <t>V16</t>
  </si>
  <si>
    <t>Gestión de Demanda - RE Se le ha enviado el documento físico MEMORANDO N 00000014 - 2026-BN2222.msg - Todos los documentos</t>
  </si>
  <si>
    <t>Backup Propuesta de Cronograma Iniciativas 2026 Actualizado al 22_05_2026 V16.xlsx</t>
  </si>
  <si>
    <t>V17</t>
  </si>
  <si>
    <t>Cobro de pagos parciales y prelación por antiguedad para créditos por vencer o vencidos del producto Préstamos Multired - 1
Cobro de pagos parciales y prelación por antiguedad para créditos por vencer o vencidos del producto Préstamos Multired - 2</t>
  </si>
  <si>
    <t>RE Se le ha enviado el documento físico MEMORANDO N 00000013 - 2026-BN2222.msg</t>
  </si>
  <si>
    <t>Backup Propuesta de Cronograma Iniciativas 2026 Actualizado al 22_05_2026 V17.xlsx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</si>
</sst>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11"/>
      <color theme="1"/>
      <name val="Arial"/>
      <family val="2"/>
    </font>
    <font>
      <sz val="11"/>
      <color rgb="FF000000"/>
      <name val="Calibri"/>
      <family val="2"/>
    </font>
    <font>
      <b/>
      <sz val="11"/>
      <color rgb="FFFFFFFF"/>
      <name val="Calibri"/>
      <family val="2"/>
    </font>
    <font>
      <b/>
      <sz val="11"/>
      <color rgb="FFEEECE1"/>
      <name val="Calibri"/>
      <family val="2"/>
    </font>
    <font>
      <sz val="8"/>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sz val="10"/>
      <color rgb="FF000000"/>
      <name val="Calibri"/>
      <family val="2"/>
      <scheme val="minor"/>
    </font>
    <font>
      <sz val="11"/>
      <color rgb="FF000000"/>
      <name val="Calibri"/>
      <family val="2"/>
      <scheme val="minor"/>
    </font>
    <font>
      <b/>
      <u val="double"/>
      <sz val="11"/>
      <color theme="1"/>
      <name val="Calibri"/>
      <family val="2"/>
      <scheme val="minor"/>
    </font>
    <font>
      <b/>
      <sz val="11"/>
      <color rgb="FF0070C0"/>
      <name val="Calibri"/>
      <family val="2"/>
      <scheme val="minor"/>
    </font>
    <font>
      <b/>
      <sz val="11"/>
      <color rgb="FFFF0000"/>
      <name val="Calibri"/>
      <family val="2"/>
      <scheme val="minor"/>
    </font>
    <font>
      <sz val="10"/>
      <color rgb="FF000000"/>
      <name val="Segoe UI"/>
      <family val="2"/>
      <charset val="1"/>
    </font>
    <font>
      <sz val="10"/>
      <color rgb="FF000000"/>
      <name val="Segoe UI"/>
      <family val="2"/>
    </font>
    <font>
      <sz val="11"/>
      <color theme="0"/>
      <name val="Calibri"/>
      <family val="2"/>
      <scheme val="minor"/>
    </font>
    <font>
      <sz val="11"/>
      <color theme="1"/>
      <name val="Ui-Monospace"/>
      <charset val="1"/>
    </font>
    <font>
      <sz val="11"/>
      <color theme="1"/>
      <name val="Ui-Sans-Serif"/>
      <charset val="1"/>
    </font>
    <font>
      <sz val="9"/>
      <color theme="1"/>
      <name val="Ui-Sans-Serif"/>
      <charset val="1"/>
    </font>
    <font>
      <b/>
      <sz val="11"/>
      <color rgb="FF000000"/>
      <name val="Calibri"/>
      <charset val="1"/>
    </font>
    <font>
      <b/>
      <sz val="14"/>
      <color rgb="FFFFFFFF"/>
      <name val="Calibri"/>
      <charset val="1"/>
    </font>
    <font>
      <sz val="12"/>
      <color rgb="FF000000"/>
      <name val="Calibri"/>
      <charset val="1"/>
    </font>
    <font>
      <b/>
      <sz val="12"/>
      <color rgb="FFFFFFFF"/>
      <name val="Calibri"/>
      <charset val="1"/>
    </font>
  </fonts>
  <fills count="24">
    <fill>
      <patternFill patternType="none"/>
    </fill>
    <fill>
      <patternFill patternType="gray125"/>
    </fill>
    <fill>
      <patternFill patternType="solid">
        <fgColor rgb="FFC00000"/>
        <bgColor rgb="FF000000"/>
      </patternFill>
    </fill>
    <fill>
      <patternFill patternType="solid">
        <fgColor theme="1" tint="0.499984740745262"/>
        <bgColor indexed="64"/>
      </patternFill>
    </fill>
    <fill>
      <patternFill patternType="solid">
        <fgColor rgb="FF1E794E"/>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rgb="FF002060"/>
        <bgColor indexed="64"/>
      </patternFill>
    </fill>
    <fill>
      <patternFill patternType="solid">
        <fgColor theme="0"/>
        <bgColor indexed="64"/>
      </patternFill>
    </fill>
    <fill>
      <patternFill patternType="solid">
        <fgColor rgb="FF00B050"/>
        <bgColor indexed="64"/>
      </patternFill>
    </fill>
    <fill>
      <patternFill patternType="solid">
        <fgColor rgb="FFC00000"/>
        <bgColor indexed="64"/>
      </patternFill>
    </fill>
    <fill>
      <patternFill patternType="solid">
        <fgColor rgb="FFFFFFFF"/>
        <bgColor rgb="FF000000"/>
      </patternFill>
    </fill>
    <fill>
      <patternFill patternType="solid">
        <fgColor theme="8" tint="-0.499984740745262"/>
        <bgColor indexed="64"/>
      </patternFill>
    </fill>
    <fill>
      <patternFill patternType="solid">
        <fgColor theme="5" tint="0.79998168889431442"/>
        <bgColor indexed="64"/>
      </patternFill>
    </fill>
    <fill>
      <patternFill patternType="solid">
        <fgColor theme="6" tint="-0.249977111117893"/>
        <bgColor indexed="64"/>
      </patternFill>
    </fill>
    <fill>
      <patternFill patternType="solid">
        <fgColor theme="4" tint="0.7999816888943144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
      <patternFill patternType="solid">
        <fgColor theme="6"/>
        <bgColor indexed="64"/>
      </patternFill>
    </fill>
    <fill>
      <patternFill patternType="solid">
        <fgColor rgb="FF0B3C5D"/>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
      <left style="thin">
        <color rgb="FF000000"/>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right/>
      <top style="thin">
        <color rgb="FF000000"/>
      </top>
      <bottom style="thin">
        <color rgb="FF000000"/>
      </bottom>
      <diagonal/>
    </border>
    <border>
      <left/>
      <right/>
      <top style="thin">
        <color indexed="64"/>
      </top>
      <bottom style="thin">
        <color indexed="64"/>
      </bottom>
      <diagonal/>
    </border>
    <border>
      <left/>
      <right/>
      <top style="thin">
        <color indexed="64"/>
      </top>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rgb="FF000000"/>
      </bottom>
      <diagonal/>
    </border>
  </borders>
  <cellStyleXfs count="6">
    <xf numFmtId="0" fontId="0" fillId="0" borderId="0"/>
    <xf numFmtId="0" fontId="6" fillId="0" borderId="0" applyNumberFormat="0" applyFill="0" applyBorder="0" applyAlignment="0" applyProtection="0"/>
    <xf numFmtId="0" fontId="7" fillId="0" borderId="0"/>
    <xf numFmtId="9" fontId="7" fillId="0" borderId="0" applyFont="0" applyFill="0" applyBorder="0" applyAlignment="0" applyProtection="0"/>
    <xf numFmtId="0" fontId="7" fillId="0" borderId="0"/>
    <xf numFmtId="0" fontId="5" fillId="0" borderId="0"/>
  </cellStyleXfs>
  <cellXfs count="288">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wrapText="1"/>
    </xf>
    <xf numFmtId="14" fontId="0" fillId="0" borderId="0" xfId="0" applyNumberFormat="1"/>
    <xf numFmtId="14" fontId="12" fillId="5" borderId="1" xfId="0" applyNumberFormat="1" applyFont="1" applyFill="1" applyBorder="1" applyAlignment="1" applyProtection="1">
      <alignment horizontal="center" vertical="center" wrapText="1"/>
      <protection locked="0"/>
    </xf>
    <xf numFmtId="0" fontId="13" fillId="0" borderId="0" xfId="0" applyFont="1"/>
    <xf numFmtId="0" fontId="8" fillId="0" borderId="1" xfId="0" applyFont="1" applyBorder="1" applyAlignment="1" applyProtection="1">
      <alignment horizontal="center" vertical="center" wrapText="1"/>
      <protection locked="0"/>
    </xf>
    <xf numFmtId="14" fontId="12" fillId="4" borderId="1" xfId="0" applyNumberFormat="1" applyFont="1" applyFill="1" applyBorder="1" applyAlignment="1" applyProtection="1">
      <alignment horizontal="center" vertical="center" wrapText="1"/>
      <protection locked="0"/>
    </xf>
    <xf numFmtId="0" fontId="0" fillId="0" borderId="0" xfId="0" applyProtection="1">
      <protection locked="0"/>
    </xf>
    <xf numFmtId="14" fontId="0" fillId="0" borderId="0" xfId="0" applyNumberFormat="1" applyAlignment="1" applyProtection="1">
      <alignment horizontal="center" vertical="top" wrapText="1"/>
      <protection locked="0"/>
    </xf>
    <xf numFmtId="0" fontId="0" fillId="0" borderId="0" xfId="0" applyAlignment="1">
      <alignment horizontal="center" vertical="center" wrapText="1"/>
    </xf>
    <xf numFmtId="0" fontId="0" fillId="0" borderId="0" xfId="0" applyAlignment="1" applyProtection="1">
      <alignment horizontal="center" vertical="top" wrapText="1"/>
      <protection locked="0"/>
    </xf>
    <xf numFmtId="0" fontId="0" fillId="0" borderId="0" xfId="0" applyAlignment="1" applyProtection="1">
      <alignment vertical="top" wrapText="1"/>
      <protection locked="0"/>
    </xf>
    <xf numFmtId="14" fontId="0" fillId="0" borderId="0" xfId="0" applyNumberFormat="1" applyAlignment="1" applyProtection="1">
      <alignment vertical="top" wrapText="1"/>
      <protection locked="0"/>
    </xf>
    <xf numFmtId="0" fontId="0" fillId="0" borderId="0" xfId="0" applyAlignment="1" applyProtection="1">
      <alignment horizontal="left" vertical="top" wrapText="1"/>
      <protection locked="0"/>
    </xf>
    <xf numFmtId="14" fontId="12" fillId="12" borderId="3" xfId="0" applyNumberFormat="1" applyFont="1" applyFill="1" applyBorder="1" applyAlignment="1" applyProtection="1">
      <alignment horizontal="center" vertical="top" wrapText="1"/>
      <protection locked="0"/>
    </xf>
    <xf numFmtId="0" fontId="0" fillId="6" borderId="0" xfId="0" applyFill="1"/>
    <xf numFmtId="0" fontId="13" fillId="6" borderId="0" xfId="0" applyFont="1" applyFill="1"/>
    <xf numFmtId="0" fontId="0" fillId="0" borderId="0" xfId="0" applyAlignment="1">
      <alignment horizontal="left" vertical="center" wrapText="1"/>
    </xf>
    <xf numFmtId="0" fontId="0" fillId="0" borderId="4" xfId="0" applyBorder="1" applyAlignment="1">
      <alignment horizontal="center" vertical="center"/>
    </xf>
    <xf numFmtId="0" fontId="6" fillId="0" borderId="13" xfId="1" applyBorder="1" applyAlignment="1">
      <alignment horizontal="center" vertical="center" wrapText="1"/>
    </xf>
    <xf numFmtId="0" fontId="0" fillId="0" borderId="4" xfId="0" applyBorder="1" applyAlignment="1">
      <alignment horizontal="center" vertical="center" wrapText="1"/>
    </xf>
    <xf numFmtId="0" fontId="6" fillId="0" borderId="4" xfId="1" applyBorder="1" applyAlignment="1">
      <alignment horizontal="center" vertical="center" wrapText="1"/>
    </xf>
    <xf numFmtId="0" fontId="6" fillId="0" borderId="0" xfId="1" applyAlignment="1">
      <alignment horizontal="center" vertical="center" wrapText="1"/>
    </xf>
    <xf numFmtId="0" fontId="12" fillId="7" borderId="2" xfId="0" applyFont="1" applyFill="1" applyBorder="1" applyAlignment="1">
      <alignment horizontal="center" vertical="center" wrapText="1"/>
    </xf>
    <xf numFmtId="0" fontId="12" fillId="7" borderId="16" xfId="0" applyFont="1" applyFill="1" applyBorder="1" applyAlignment="1">
      <alignment horizontal="center" vertical="center" wrapText="1"/>
    </xf>
    <xf numFmtId="0" fontId="6" fillId="0" borderId="9" xfId="1" applyBorder="1" applyAlignment="1">
      <alignment horizontal="center" vertical="center" wrapText="1"/>
    </xf>
    <xf numFmtId="0" fontId="12" fillId="7" borderId="15" xfId="0" applyFont="1" applyFill="1" applyBorder="1" applyAlignment="1">
      <alignment horizontal="center" vertical="center"/>
    </xf>
    <xf numFmtId="0" fontId="4" fillId="0" borderId="0" xfId="0" applyFont="1" applyAlignment="1" applyProtection="1">
      <alignment vertical="top" wrapText="1"/>
      <protection locked="0"/>
    </xf>
    <xf numFmtId="0" fontId="16" fillId="8" borderId="1" xfId="0" applyFont="1" applyFill="1" applyBorder="1" applyAlignment="1" applyProtection="1">
      <alignment horizontal="center" vertical="top" wrapText="1"/>
      <protection locked="0"/>
    </xf>
    <xf numFmtId="0" fontId="16" fillId="0" borderId="1" xfId="0" applyFont="1" applyBorder="1" applyAlignment="1" applyProtection="1">
      <alignment horizontal="center" vertical="top" wrapText="1"/>
      <protection locked="0"/>
    </xf>
    <xf numFmtId="0" fontId="16" fillId="8" borderId="1" xfId="0" applyFont="1" applyFill="1" applyBorder="1" applyAlignment="1" applyProtection="1">
      <alignment horizontal="left" vertical="top" wrapText="1"/>
      <protection locked="0"/>
    </xf>
    <xf numFmtId="0" fontId="16" fillId="0" borderId="4" xfId="0" applyFont="1" applyBorder="1" applyAlignment="1" applyProtection="1">
      <alignment horizontal="center" vertical="top" wrapText="1"/>
      <protection locked="0"/>
    </xf>
    <xf numFmtId="0" fontId="16" fillId="0" borderId="1" xfId="0" applyFont="1" applyBorder="1" applyAlignment="1" applyProtection="1">
      <alignment horizontal="left" vertical="top" wrapText="1"/>
      <protection locked="0"/>
    </xf>
    <xf numFmtId="0" fontId="16" fillId="8" borderId="4" xfId="0" applyFont="1" applyFill="1" applyBorder="1" applyAlignment="1" applyProtection="1">
      <alignment horizontal="center" vertical="top" wrapText="1"/>
      <protection locked="0"/>
    </xf>
    <xf numFmtId="0" fontId="16" fillId="8" borderId="4" xfId="0" applyFont="1" applyFill="1" applyBorder="1" applyAlignment="1" applyProtection="1">
      <alignment horizontal="left" vertical="top" wrapText="1"/>
      <protection locked="0"/>
    </xf>
    <xf numFmtId="0" fontId="16" fillId="0" borderId="4" xfId="0" applyFont="1" applyBorder="1" applyAlignment="1" applyProtection="1">
      <alignment horizontal="left" vertical="top" wrapText="1"/>
      <protection locked="0"/>
    </xf>
    <xf numFmtId="0" fontId="16" fillId="0" borderId="1" xfId="0" applyFont="1" applyBorder="1" applyAlignment="1">
      <alignment horizontal="center" vertical="top" wrapText="1"/>
    </xf>
    <xf numFmtId="0" fontId="14" fillId="0" borderId="1" xfId="0" applyFont="1" applyBorder="1" applyAlignment="1">
      <alignment horizontal="left" vertical="top" wrapText="1"/>
    </xf>
    <xf numFmtId="0" fontId="16" fillId="0" borderId="1" xfId="0" applyFont="1" applyBorder="1" applyAlignment="1">
      <alignment horizontal="center" vertical="top"/>
    </xf>
    <xf numFmtId="0" fontId="16" fillId="11" borderId="1" xfId="0" applyFont="1" applyFill="1" applyBorder="1" applyAlignment="1">
      <alignment horizontal="left" vertical="top" wrapText="1"/>
    </xf>
    <xf numFmtId="0" fontId="16" fillId="11" borderId="1" xfId="0" applyFont="1" applyFill="1" applyBorder="1" applyAlignment="1">
      <alignment horizontal="center" vertical="top" wrapText="1"/>
    </xf>
    <xf numFmtId="0" fontId="16" fillId="8" borderId="1" xfId="0" applyFont="1" applyFill="1" applyBorder="1" applyAlignment="1">
      <alignment vertical="top" wrapText="1"/>
    </xf>
    <xf numFmtId="0" fontId="13" fillId="13" borderId="14" xfId="0" applyFont="1" applyFill="1" applyBorder="1" applyAlignment="1" applyProtection="1">
      <alignment horizontal="center" vertical="top" wrapText="1"/>
      <protection locked="0"/>
    </xf>
    <xf numFmtId="0" fontId="16" fillId="8" borderId="1" xfId="0" applyFont="1" applyFill="1" applyBorder="1" applyAlignment="1">
      <alignment horizontal="center" vertical="top" wrapText="1"/>
    </xf>
    <xf numFmtId="0" fontId="16" fillId="8" borderId="1" xfId="0" applyFont="1" applyFill="1" applyBorder="1" applyAlignment="1">
      <alignment horizontal="center" vertical="top"/>
    </xf>
    <xf numFmtId="0" fontId="0" fillId="0" borderId="1" xfId="0" applyBorder="1" applyAlignment="1" applyProtection="1">
      <alignment horizontal="center" vertical="top" wrapText="1"/>
      <protection locked="0"/>
    </xf>
    <xf numFmtId="14" fontId="0" fillId="0" borderId="3" xfId="0" applyNumberFormat="1" applyBorder="1" applyAlignment="1" applyProtection="1">
      <alignment horizontal="center" vertical="top" wrapText="1"/>
      <protection locked="0"/>
    </xf>
    <xf numFmtId="14" fontId="0" fillId="0" borderId="5" xfId="0" applyNumberFormat="1" applyBorder="1" applyAlignment="1" applyProtection="1">
      <alignment horizontal="center" vertical="top" wrapText="1"/>
      <protection locked="0"/>
    </xf>
    <xf numFmtId="14" fontId="0" fillId="0" borderId="4" xfId="0" applyNumberFormat="1" applyBorder="1" applyAlignment="1" applyProtection="1">
      <alignment horizontal="center" vertical="top" wrapText="1"/>
      <protection locked="0"/>
    </xf>
    <xf numFmtId="14" fontId="0" fillId="0" borderId="1" xfId="0" applyNumberFormat="1" applyBorder="1" applyAlignment="1" applyProtection="1">
      <alignment horizontal="center" vertical="top" wrapText="1"/>
      <protection locked="0"/>
    </xf>
    <xf numFmtId="14" fontId="0" fillId="0" borderId="0" xfId="0" applyNumberFormat="1" applyAlignment="1" applyProtection="1">
      <alignment horizontal="center" vertical="center"/>
      <protection locked="0"/>
    </xf>
    <xf numFmtId="14" fontId="17" fillId="0" borderId="0" xfId="0" applyNumberFormat="1" applyFont="1" applyAlignment="1" applyProtection="1">
      <alignment horizontal="center" vertical="center"/>
      <protection locked="0"/>
    </xf>
    <xf numFmtId="0" fontId="9" fillId="3" borderId="2" xfId="0" applyFont="1" applyFill="1" applyBorder="1" applyAlignment="1" applyProtection="1">
      <alignment horizontal="center" vertical="center" wrapText="1"/>
      <protection locked="0"/>
    </xf>
    <xf numFmtId="0" fontId="9" fillId="14" borderId="2" xfId="0" applyFont="1" applyFill="1" applyBorder="1" applyAlignment="1" applyProtection="1">
      <alignment horizontal="center" vertical="center" wrapText="1"/>
      <protection locked="0"/>
    </xf>
    <xf numFmtId="0" fontId="10" fillId="2" borderId="2" xfId="0" applyFont="1" applyFill="1" applyBorder="1" applyAlignment="1" applyProtection="1">
      <alignment horizontal="center" vertical="center" wrapText="1"/>
      <protection locked="0"/>
    </xf>
    <xf numFmtId="14" fontId="12" fillId="10" borderId="3" xfId="0" applyNumberFormat="1" applyFont="1" applyFill="1" applyBorder="1" applyAlignment="1" applyProtection="1">
      <alignment horizontal="center" vertical="center" wrapText="1"/>
      <protection locked="0"/>
    </xf>
    <xf numFmtId="0" fontId="9" fillId="10"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14" fontId="12" fillId="10" borderId="1" xfId="0" applyNumberFormat="1" applyFont="1" applyFill="1" applyBorder="1" applyAlignment="1" applyProtection="1">
      <alignment horizontal="center" vertical="center" wrapText="1"/>
      <protection locked="0"/>
    </xf>
    <xf numFmtId="14" fontId="12" fillId="14" borderId="1" xfId="0" applyNumberFormat="1" applyFont="1" applyFill="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0" fillId="9" borderId="1" xfId="0" applyFill="1" applyBorder="1" applyAlignment="1" applyProtection="1">
      <alignment horizontal="center" vertical="center" wrapText="1"/>
      <protection locked="0"/>
    </xf>
    <xf numFmtId="0" fontId="0" fillId="0" borderId="1" xfId="0" applyBorder="1" applyAlignment="1">
      <alignment horizontal="center" vertical="center"/>
    </xf>
    <xf numFmtId="14" fontId="0" fillId="0" borderId="1" xfId="0" applyNumberFormat="1" applyBorder="1" applyAlignment="1" applyProtection="1">
      <alignment horizontal="center" vertical="center"/>
      <protection locked="0"/>
    </xf>
    <xf numFmtId="14" fontId="0" fillId="0" borderId="1" xfId="0" applyNumberFormat="1" applyBorder="1" applyAlignment="1" applyProtection="1">
      <alignment horizontal="center" vertical="center" wrapText="1"/>
      <protection locked="0"/>
    </xf>
    <xf numFmtId="0" fontId="0" fillId="9" borderId="0" xfId="0" applyFill="1" applyAlignment="1" applyProtection="1">
      <alignment horizontal="center" vertical="center" wrapText="1"/>
      <protection locked="0"/>
    </xf>
    <xf numFmtId="0" fontId="8" fillId="8" borderId="3" xfId="0" applyFont="1" applyFill="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locked="0"/>
    </xf>
    <xf numFmtId="0" fontId="0" fillId="0" borderId="1" xfId="0" applyBorder="1" applyAlignment="1">
      <alignment horizontal="center" vertical="center" wrapText="1"/>
    </xf>
    <xf numFmtId="14" fontId="0" fillId="0" borderId="0" xfId="0" applyNumberFormat="1" applyAlignment="1" applyProtection="1">
      <alignment horizontal="center" vertical="center" wrapText="1"/>
      <protection locked="0"/>
    </xf>
    <xf numFmtId="0" fontId="0" fillId="0" borderId="3" xfId="0" applyBorder="1" applyAlignment="1">
      <alignment horizontal="center" vertical="center"/>
    </xf>
    <xf numFmtId="0" fontId="0" fillId="0" borderId="3" xfId="0" applyBorder="1" applyAlignment="1">
      <alignment horizontal="center" vertical="center" wrapText="1"/>
    </xf>
    <xf numFmtId="16" fontId="0" fillId="0" borderId="4" xfId="0" applyNumberFormat="1" applyBorder="1" applyAlignment="1">
      <alignment horizontal="center" vertical="center"/>
    </xf>
    <xf numFmtId="0" fontId="0" fillId="0" borderId="5" xfId="0" applyBorder="1" applyAlignment="1" applyProtection="1">
      <alignment horizontal="center" vertical="top" wrapText="1"/>
      <protection locked="0"/>
    </xf>
    <xf numFmtId="0" fontId="13" fillId="0" borderId="0" xfId="0" applyFont="1" applyAlignment="1">
      <alignment vertical="center" wrapText="1"/>
    </xf>
    <xf numFmtId="0" fontId="0" fillId="0" borderId="0" xfId="0" applyAlignment="1">
      <alignment vertical="center" wrapText="1"/>
    </xf>
    <xf numFmtId="0" fontId="0" fillId="0" borderId="11" xfId="0" applyBorder="1" applyAlignment="1">
      <alignment horizontal="center" vertical="top" wrapText="1"/>
    </xf>
    <xf numFmtId="14" fontId="0" fillId="0" borderId="11" xfId="0" applyNumberFormat="1" applyBorder="1" applyAlignment="1">
      <alignment horizontal="center" vertical="top" wrapText="1"/>
    </xf>
    <xf numFmtId="0" fontId="0" fillId="0" borderId="3" xfId="0" applyBorder="1" applyAlignment="1">
      <alignment horizontal="center" vertical="top" wrapText="1"/>
    </xf>
    <xf numFmtId="14" fontId="0" fillId="0" borderId="6" xfId="0" applyNumberFormat="1" applyBorder="1" applyAlignment="1">
      <alignment horizontal="center" vertical="top" wrapText="1"/>
    </xf>
    <xf numFmtId="14" fontId="0" fillId="0" borderId="3" xfId="0" applyNumberFormat="1" applyBorder="1" applyAlignment="1">
      <alignment horizontal="center" vertical="top" wrapText="1"/>
    </xf>
    <xf numFmtId="0" fontId="0" fillId="0" borderId="4" xfId="0" applyBorder="1" applyAlignment="1">
      <alignment horizontal="center" vertical="top" wrapText="1"/>
    </xf>
    <xf numFmtId="14" fontId="0" fillId="0" borderId="4" xfId="0" applyNumberFormat="1" applyBorder="1" applyAlignment="1">
      <alignment horizontal="center" vertical="top" wrapText="1"/>
    </xf>
    <xf numFmtId="0" fontId="0" fillId="0" borderId="5" xfId="0" applyBorder="1" applyAlignment="1">
      <alignment horizontal="center" vertical="top" wrapText="1"/>
    </xf>
    <xf numFmtId="14" fontId="0" fillId="0" borderId="5" xfId="0" applyNumberFormat="1" applyBorder="1" applyAlignment="1">
      <alignment horizontal="center" vertical="top" wrapText="1"/>
    </xf>
    <xf numFmtId="0" fontId="0" fillId="0" borderId="1" xfId="0" applyBorder="1" applyAlignment="1">
      <alignment horizontal="center" vertical="top" wrapText="1"/>
    </xf>
    <xf numFmtId="14" fontId="0" fillId="0" borderId="1" xfId="0" applyNumberFormat="1" applyBorder="1" applyAlignment="1">
      <alignment horizontal="center" vertical="top" wrapText="1"/>
    </xf>
    <xf numFmtId="14" fontId="17" fillId="0" borderId="0" xfId="0" applyNumberFormat="1" applyFont="1" applyAlignment="1" applyProtection="1">
      <alignment vertical="center" wrapText="1"/>
      <protection locked="0"/>
    </xf>
    <xf numFmtId="14" fontId="0" fillId="0" borderId="9" xfId="0" applyNumberFormat="1" applyBorder="1" applyAlignment="1">
      <alignment horizontal="center" vertical="center"/>
    </xf>
    <xf numFmtId="14" fontId="12" fillId="7" borderId="9" xfId="0" applyNumberFormat="1" applyFont="1" applyFill="1" applyBorder="1" applyAlignment="1">
      <alignment horizontal="center" vertical="center"/>
    </xf>
    <xf numFmtId="14" fontId="0" fillId="0" borderId="4" xfId="0" applyNumberFormat="1" applyBorder="1" applyAlignment="1">
      <alignment horizontal="center" vertical="center"/>
    </xf>
    <xf numFmtId="14" fontId="0" fillId="0" borderId="3" xfId="0" applyNumberFormat="1" applyBorder="1" applyAlignment="1">
      <alignment horizontal="center" vertical="center"/>
    </xf>
    <xf numFmtId="0" fontId="0" fillId="0" borderId="6" xfId="0" applyBorder="1" applyAlignment="1">
      <alignment horizontal="center" vertical="center" wrapText="1"/>
    </xf>
    <xf numFmtId="0" fontId="13" fillId="0" borderId="9" xfId="0" applyFont="1" applyBorder="1" applyAlignment="1">
      <alignment horizontal="center" vertical="center"/>
    </xf>
    <xf numFmtId="0" fontId="13" fillId="0" borderId="2" xfId="0" applyFont="1" applyBorder="1" applyAlignment="1">
      <alignment horizontal="center" vertical="center" wrapText="1"/>
    </xf>
    <xf numFmtId="16" fontId="0" fillId="0" borderId="0" xfId="0" applyNumberFormat="1" applyAlignment="1" applyProtection="1">
      <alignment vertical="top" wrapText="1"/>
      <protection locked="0"/>
    </xf>
    <xf numFmtId="0" fontId="0" fillId="0" borderId="6" xfId="0" applyBorder="1" applyAlignment="1">
      <alignment horizontal="center" vertical="center"/>
    </xf>
    <xf numFmtId="0" fontId="6" fillId="0" borderId="3" xfId="1" applyBorder="1" applyAlignment="1">
      <alignment horizontal="center" vertical="center" wrapText="1"/>
    </xf>
    <xf numFmtId="14" fontId="12" fillId="12" borderId="3" xfId="0" applyNumberFormat="1" applyFont="1" applyFill="1" applyBorder="1" applyAlignment="1" applyProtection="1">
      <alignment horizontal="center" vertical="center" wrapText="1"/>
      <protection locked="0"/>
    </xf>
    <xf numFmtId="0" fontId="0" fillId="0" borderId="4" xfId="0" applyBorder="1" applyAlignment="1" applyProtection="1">
      <alignment horizontal="center" vertical="top" wrapText="1"/>
      <protection locked="0"/>
    </xf>
    <xf numFmtId="0" fontId="16" fillId="0" borderId="5" xfId="0" applyFont="1" applyBorder="1" applyAlignment="1" applyProtection="1">
      <alignment horizontal="center" vertical="top" wrapText="1"/>
      <protection locked="0"/>
    </xf>
    <xf numFmtId="0" fontId="16" fillId="0" borderId="4" xfId="0" applyFont="1" applyBorder="1" applyAlignment="1">
      <alignment horizontal="center" vertical="top" wrapText="1"/>
    </xf>
    <xf numFmtId="0" fontId="3" fillId="0" borderId="0" xfId="0" applyFont="1"/>
    <xf numFmtId="0" fontId="20" fillId="0" borderId="3" xfId="0" applyFont="1" applyBorder="1" applyAlignment="1">
      <alignment horizontal="center" vertical="center"/>
    </xf>
    <xf numFmtId="0" fontId="0" fillId="0" borderId="13" xfId="0" applyBorder="1" applyAlignment="1">
      <alignment horizontal="center" vertical="center" wrapText="1"/>
    </xf>
    <xf numFmtId="0" fontId="10" fillId="19" borderId="2" xfId="0" applyFont="1" applyFill="1" applyBorder="1" applyAlignment="1" applyProtection="1">
      <alignment horizontal="center" vertical="center" wrapText="1"/>
      <protection locked="0"/>
    </xf>
    <xf numFmtId="14" fontId="23" fillId="0" borderId="0" xfId="0" applyNumberFormat="1" applyFont="1"/>
    <xf numFmtId="0" fontId="24" fillId="0" borderId="0" xfId="0" applyFont="1"/>
    <xf numFmtId="0" fontId="24" fillId="0" borderId="0" xfId="0" applyFont="1" applyAlignment="1">
      <alignment wrapText="1"/>
    </xf>
    <xf numFmtId="0" fontId="25" fillId="0" borderId="0" xfId="0" applyFont="1" applyAlignment="1">
      <alignment wrapText="1"/>
    </xf>
    <xf numFmtId="0" fontId="14" fillId="0" borderId="1" xfId="0" applyFont="1" applyBorder="1" applyAlignment="1" applyProtection="1">
      <alignment horizontal="left" vertical="top" wrapText="1"/>
      <protection locked="0"/>
    </xf>
    <xf numFmtId="14" fontId="0" fillId="0" borderId="7" xfId="0" applyNumberFormat="1" applyBorder="1" applyAlignment="1" applyProtection="1">
      <alignment horizontal="center" vertical="top" wrapText="1"/>
      <protection locked="0"/>
    </xf>
    <xf numFmtId="14" fontId="0" fillId="0" borderId="7" xfId="0" applyNumberFormat="1" applyBorder="1" applyAlignment="1">
      <alignment horizontal="center" vertical="top" wrapText="1"/>
    </xf>
    <xf numFmtId="0" fontId="0" fillId="0" borderId="7" xfId="0" applyBorder="1" applyAlignment="1">
      <alignment horizontal="center" vertical="top" wrapText="1"/>
    </xf>
    <xf numFmtId="0" fontId="6" fillId="0" borderId="6" xfId="1" applyBorder="1" applyAlignment="1">
      <alignment horizontal="center" vertical="center" wrapText="1"/>
    </xf>
    <xf numFmtId="14" fontId="0" fillId="0" borderId="19" xfId="0" applyNumberFormat="1" applyBorder="1" applyAlignment="1">
      <alignment horizontal="center" vertical="center" wrapText="1"/>
    </xf>
    <xf numFmtId="0" fontId="14" fillId="0" borderId="1" xfId="0" applyFont="1" applyBorder="1" applyAlignment="1" applyProtection="1">
      <alignment horizontal="center" vertical="top" wrapText="1"/>
      <protection locked="0"/>
    </xf>
    <xf numFmtId="0" fontId="0" fillId="0" borderId="1" xfId="0" applyBorder="1" applyAlignment="1" applyProtection="1">
      <alignment horizontal="left" vertical="top" wrapText="1"/>
      <protection locked="0"/>
    </xf>
    <xf numFmtId="0" fontId="6" fillId="0" borderId="27" xfId="1" applyBorder="1" applyAlignment="1">
      <alignment horizontal="center" vertical="center" wrapText="1"/>
    </xf>
    <xf numFmtId="14" fontId="16" fillId="0" borderId="1" xfId="0" applyNumberFormat="1" applyFont="1" applyBorder="1" applyAlignment="1" applyProtection="1">
      <alignment horizontal="center" vertical="top" wrapText="1"/>
      <protection locked="0"/>
    </xf>
    <xf numFmtId="14" fontId="16" fillId="0" borderId="1" xfId="0" applyNumberFormat="1" applyFont="1" applyBorder="1" applyAlignment="1">
      <alignment horizontal="center" vertical="top" wrapText="1"/>
    </xf>
    <xf numFmtId="14" fontId="16" fillId="0" borderId="4" xfId="0" applyNumberFormat="1" applyFont="1" applyBorder="1" applyAlignment="1" applyProtection="1">
      <alignment horizontal="center" vertical="top" wrapText="1"/>
      <protection locked="0"/>
    </xf>
    <xf numFmtId="0" fontId="12" fillId="20" borderId="0" xfId="0" applyFont="1" applyFill="1" applyAlignment="1">
      <alignment horizontal="center" vertical="center"/>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horizontal="center" vertical="top" wrapText="1"/>
      <protection locked="0"/>
    </xf>
    <xf numFmtId="14" fontId="2" fillId="0" borderId="1" xfId="0" applyNumberFormat="1" applyFont="1" applyBorder="1" applyAlignment="1">
      <alignment horizontal="center" vertical="top" wrapText="1"/>
    </xf>
    <xf numFmtId="0" fontId="2" fillId="0" borderId="1" xfId="0" applyFont="1" applyBorder="1" applyAlignment="1">
      <alignment horizontal="center" vertical="top" wrapText="1"/>
    </xf>
    <xf numFmtId="14" fontId="2" fillId="0" borderId="4" xfId="0" applyNumberFormat="1" applyFont="1" applyBorder="1" applyAlignment="1" applyProtection="1">
      <alignment horizontal="center" vertical="top" wrapText="1"/>
      <protection locked="0"/>
    </xf>
    <xf numFmtId="0" fontId="16" fillId="11" borderId="4" xfId="0" applyFont="1" applyFill="1" applyBorder="1" applyAlignment="1">
      <alignment horizontal="center" vertical="top" wrapText="1"/>
    </xf>
    <xf numFmtId="14" fontId="16" fillId="0" borderId="4" xfId="0" applyNumberFormat="1" applyFont="1" applyBorder="1" applyAlignment="1">
      <alignment horizontal="center" vertical="top" wrapText="1"/>
    </xf>
    <xf numFmtId="14" fontId="2" fillId="0" borderId="17" xfId="0" applyNumberFormat="1" applyFont="1" applyBorder="1" applyAlignment="1" applyProtection="1">
      <alignment horizontal="center" vertical="top" wrapText="1"/>
      <protection locked="0"/>
    </xf>
    <xf numFmtId="0" fontId="2" fillId="0" borderId="20" xfId="0" applyFont="1" applyBorder="1" applyAlignment="1" applyProtection="1">
      <alignment horizontal="center" vertical="top" wrapText="1"/>
      <protection locked="0"/>
    </xf>
    <xf numFmtId="14" fontId="2" fillId="0" borderId="1" xfId="0" applyNumberFormat="1" applyFont="1" applyBorder="1" applyAlignment="1" applyProtection="1">
      <alignment horizontal="center" vertical="top" wrapText="1"/>
      <protection locked="0"/>
    </xf>
    <xf numFmtId="0" fontId="16" fillId="0" borderId="17" xfId="0" applyFont="1" applyBorder="1" applyAlignment="1" applyProtection="1">
      <alignment horizontal="center" vertical="top" wrapText="1"/>
      <protection locked="0"/>
    </xf>
    <xf numFmtId="0" fontId="16" fillId="0" borderId="12" xfId="0" applyFont="1" applyBorder="1" applyAlignment="1" applyProtection="1">
      <alignment horizontal="left" vertical="top" wrapText="1"/>
      <protection locked="0"/>
    </xf>
    <xf numFmtId="0" fontId="14" fillId="0" borderId="4" xfId="0" applyFont="1" applyBorder="1" applyAlignment="1" applyProtection="1">
      <alignment horizontal="left" vertical="top" wrapText="1"/>
      <protection locked="0"/>
    </xf>
    <xf numFmtId="0" fontId="16" fillId="8" borderId="7" xfId="0" applyFont="1" applyFill="1" applyBorder="1" applyAlignment="1" applyProtection="1">
      <alignment horizontal="center" vertical="top" wrapText="1"/>
      <protection locked="0"/>
    </xf>
    <xf numFmtId="0" fontId="16" fillId="0" borderId="7" xfId="0" applyFont="1" applyBorder="1" applyAlignment="1" applyProtection="1">
      <alignment horizontal="center" vertical="top" wrapText="1"/>
      <protection locked="0"/>
    </xf>
    <xf numFmtId="0" fontId="15" fillId="0" borderId="4" xfId="0" applyFont="1" applyBorder="1" applyAlignment="1">
      <alignment horizontal="center" vertical="top" wrapText="1"/>
    </xf>
    <xf numFmtId="0" fontId="16" fillId="0" borderId="4" xfId="0" applyFont="1" applyBorder="1" applyAlignment="1">
      <alignment horizontal="center" vertical="top"/>
    </xf>
    <xf numFmtId="0" fontId="16" fillId="8" borderId="9" xfId="0" applyFont="1" applyFill="1" applyBorder="1" applyAlignment="1" applyProtection="1">
      <alignment horizontal="center" vertical="top" wrapText="1"/>
      <protection locked="0"/>
    </xf>
    <xf numFmtId="0" fontId="16" fillId="8" borderId="5" xfId="0" applyFont="1" applyFill="1" applyBorder="1" applyAlignment="1" applyProtection="1">
      <alignment horizontal="center" vertical="top" wrapText="1"/>
      <protection locked="0"/>
    </xf>
    <xf numFmtId="0" fontId="16" fillId="8" borderId="5" xfId="0" applyFont="1" applyFill="1" applyBorder="1" applyAlignment="1" applyProtection="1">
      <alignment horizontal="left" vertical="top" wrapText="1"/>
      <protection locked="0"/>
    </xf>
    <xf numFmtId="0" fontId="16" fillId="0" borderId="4" xfId="0" applyFont="1" applyBorder="1" applyAlignment="1">
      <alignment horizontal="left" vertical="top" wrapText="1"/>
    </xf>
    <xf numFmtId="0" fontId="0" fillId="18" borderId="1" xfId="0" applyFill="1" applyBorder="1" applyAlignment="1" applyProtection="1">
      <alignment horizontal="center" vertical="top" wrapText="1"/>
      <protection locked="0"/>
    </xf>
    <xf numFmtId="0" fontId="16" fillId="11" borderId="0" xfId="0" applyFont="1" applyFill="1" applyAlignment="1">
      <alignment horizontal="center" vertical="top" wrapText="1"/>
    </xf>
    <xf numFmtId="0" fontId="16" fillId="0" borderId="13" xfId="0" applyFont="1" applyBorder="1" applyAlignment="1">
      <alignment horizontal="center" vertical="top" wrapText="1"/>
    </xf>
    <xf numFmtId="0" fontId="16" fillId="0" borderId="7" xfId="0" applyFont="1" applyBorder="1" applyAlignment="1" applyProtection="1">
      <alignment horizontal="left" vertical="top" wrapText="1"/>
      <protection locked="0"/>
    </xf>
    <xf numFmtId="0" fontId="0" fillId="16" borderId="7" xfId="0" applyFill="1" applyBorder="1" applyAlignment="1" applyProtection="1">
      <alignment horizontal="left" vertical="top" wrapText="1"/>
      <protection locked="0"/>
    </xf>
    <xf numFmtId="0" fontId="0" fillId="16" borderId="19" xfId="0" applyFill="1" applyBorder="1" applyAlignment="1" applyProtection="1">
      <alignment horizontal="left" vertical="top" wrapText="1"/>
      <protection locked="0"/>
    </xf>
    <xf numFmtId="0" fontId="0" fillId="0" borderId="4" xfId="0" applyBorder="1" applyAlignment="1" applyProtection="1">
      <alignment vertical="top" wrapText="1"/>
      <protection locked="0"/>
    </xf>
    <xf numFmtId="14" fontId="16" fillId="0" borderId="10" xfId="0" applyNumberFormat="1" applyFont="1" applyBorder="1" applyAlignment="1" applyProtection="1">
      <alignment horizontal="center" vertical="top" wrapText="1"/>
      <protection locked="0"/>
    </xf>
    <xf numFmtId="0" fontId="2" fillId="0" borderId="0" xfId="0" applyFont="1" applyAlignment="1" applyProtection="1">
      <alignment vertical="top" wrapText="1"/>
      <protection locked="0"/>
    </xf>
    <xf numFmtId="0" fontId="2" fillId="0" borderId="4" xfId="0" applyFont="1" applyBorder="1" applyAlignment="1" applyProtection="1">
      <alignment horizontal="center" vertical="top" wrapText="1"/>
      <protection locked="0"/>
    </xf>
    <xf numFmtId="0" fontId="2" fillId="0" borderId="15" xfId="0" applyFont="1" applyBorder="1" applyAlignment="1" applyProtection="1">
      <alignment horizontal="center" vertical="top" wrapText="1"/>
      <protection locked="0"/>
    </xf>
    <xf numFmtId="0" fontId="2" fillId="0" borderId="26" xfId="0" applyFont="1" applyBorder="1" applyAlignment="1" applyProtection="1">
      <alignment horizontal="center" vertical="top" wrapText="1"/>
      <protection locked="0"/>
    </xf>
    <xf numFmtId="0" fontId="2" fillId="0" borderId="0" xfId="0" applyFont="1" applyAlignment="1" applyProtection="1">
      <alignment horizontal="center" vertical="top" wrapText="1"/>
      <protection locked="0"/>
    </xf>
    <xf numFmtId="0" fontId="2" fillId="0" borderId="4" xfId="0" applyFont="1" applyBorder="1" applyAlignment="1" applyProtection="1">
      <alignment horizontal="left" vertical="top" wrapText="1"/>
      <protection locked="0"/>
    </xf>
    <xf numFmtId="0" fontId="2" fillId="18" borderId="1" xfId="0" applyFont="1" applyFill="1" applyBorder="1" applyAlignment="1" applyProtection="1">
      <alignment horizontal="center" vertical="top" wrapText="1"/>
      <protection locked="0"/>
    </xf>
    <xf numFmtId="0" fontId="2" fillId="17" borderId="1" xfId="0" applyFont="1" applyFill="1" applyBorder="1" applyAlignment="1" applyProtection="1">
      <alignment horizontal="center" vertical="top" wrapText="1"/>
      <protection locked="0"/>
    </xf>
    <xf numFmtId="0" fontId="2" fillId="0" borderId="19" xfId="0" applyFont="1" applyBorder="1" applyAlignment="1" applyProtection="1">
      <alignment horizontal="center" vertical="top" wrapText="1"/>
      <protection locked="0"/>
    </xf>
    <xf numFmtId="0" fontId="2" fillId="16" borderId="1" xfId="0" applyFont="1" applyFill="1" applyBorder="1" applyAlignment="1" applyProtection="1">
      <alignment horizontal="left" vertical="top" wrapText="1"/>
      <protection locked="0"/>
    </xf>
    <xf numFmtId="0" fontId="2" fillId="0" borderId="5" xfId="0" applyFont="1" applyBorder="1" applyAlignment="1" applyProtection="1">
      <alignment horizontal="center" vertical="top" wrapText="1"/>
      <protection locked="0"/>
    </xf>
    <xf numFmtId="0" fontId="2" fillId="0" borderId="5" xfId="0" applyFont="1" applyBorder="1" applyAlignment="1" applyProtection="1">
      <alignment horizontal="left" vertical="top" wrapText="1"/>
      <protection locked="0"/>
    </xf>
    <xf numFmtId="14" fontId="2" fillId="16" borderId="17" xfId="0" applyNumberFormat="1" applyFont="1" applyFill="1" applyBorder="1" applyAlignment="1" applyProtection="1">
      <alignment horizontal="center" vertical="top" wrapText="1"/>
      <protection locked="0"/>
    </xf>
    <xf numFmtId="0" fontId="2" fillId="0" borderId="3" xfId="0" applyFont="1" applyBorder="1" applyAlignment="1" applyProtection="1">
      <alignment horizontal="center" vertical="top" wrapText="1"/>
      <protection locked="0"/>
    </xf>
    <xf numFmtId="0" fontId="2" fillId="0" borderId="3" xfId="0" applyFont="1" applyBorder="1" applyAlignment="1" applyProtection="1">
      <alignment horizontal="left" vertical="top" wrapText="1"/>
      <protection locked="0"/>
    </xf>
    <xf numFmtId="0" fontId="2" fillId="0" borderId="6" xfId="0" applyFont="1" applyBorder="1" applyAlignment="1" applyProtection="1">
      <alignment horizontal="center" vertical="top" wrapText="1"/>
      <protection locked="0"/>
    </xf>
    <xf numFmtId="14" fontId="2" fillId="0" borderId="3" xfId="0" applyNumberFormat="1" applyFont="1" applyBorder="1" applyAlignment="1" applyProtection="1">
      <alignment horizontal="center" vertical="top" wrapText="1"/>
      <protection locked="0"/>
    </xf>
    <xf numFmtId="0" fontId="2" fillId="16" borderId="4" xfId="0" applyFont="1" applyFill="1" applyBorder="1" applyAlignment="1" applyProtection="1">
      <alignment horizontal="left" vertical="top" wrapText="1"/>
      <protection locked="0"/>
    </xf>
    <xf numFmtId="14" fontId="2" fillId="0" borderId="25" xfId="0" applyNumberFormat="1" applyFont="1" applyBorder="1" applyAlignment="1" applyProtection="1">
      <alignment horizontal="center" vertical="top" wrapText="1"/>
      <protection locked="0"/>
    </xf>
    <xf numFmtId="0" fontId="2" fillId="0" borderId="7" xfId="0" applyFont="1" applyBorder="1" applyAlignment="1" applyProtection="1">
      <alignment horizontal="center" vertical="top" wrapText="1"/>
      <protection locked="0"/>
    </xf>
    <xf numFmtId="0" fontId="2" fillId="0" borderId="7" xfId="0" applyFont="1" applyBorder="1" applyAlignment="1" applyProtection="1">
      <alignment horizontal="left" vertical="top" wrapText="1"/>
      <protection locked="0"/>
    </xf>
    <xf numFmtId="14" fontId="2" fillId="0" borderId="24" xfId="0" applyNumberFormat="1" applyFont="1" applyBorder="1" applyAlignment="1" applyProtection="1">
      <alignment horizontal="center" vertical="top" wrapText="1"/>
      <protection locked="0"/>
    </xf>
    <xf numFmtId="14" fontId="2" fillId="0" borderId="9" xfId="0" applyNumberFormat="1" applyFont="1" applyBorder="1" applyAlignment="1" applyProtection="1">
      <alignment horizontal="center" vertical="top" wrapText="1"/>
      <protection locked="0"/>
    </xf>
    <xf numFmtId="0" fontId="2" fillId="0" borderId="17" xfId="0" applyFont="1" applyBorder="1" applyAlignment="1" applyProtection="1">
      <alignment horizontal="center" vertical="top" wrapText="1"/>
      <protection locked="0"/>
    </xf>
    <xf numFmtId="0" fontId="2" fillId="0" borderId="12" xfId="0" applyFont="1" applyBorder="1" applyAlignment="1" applyProtection="1">
      <alignment horizontal="left" vertical="top" wrapText="1"/>
      <protection locked="0"/>
    </xf>
    <xf numFmtId="0" fontId="2" fillId="17" borderId="17" xfId="0" applyFont="1" applyFill="1" applyBorder="1" applyAlignment="1" applyProtection="1">
      <alignment horizontal="center" vertical="top" wrapText="1"/>
      <protection locked="0"/>
    </xf>
    <xf numFmtId="0" fontId="2" fillId="0" borderId="8" xfId="0" applyFont="1" applyBorder="1" applyAlignment="1">
      <alignment horizontal="left" vertical="top" wrapText="1"/>
    </xf>
    <xf numFmtId="0" fontId="2" fillId="0" borderId="18" xfId="0" applyFont="1" applyBorder="1" applyAlignment="1" applyProtection="1">
      <alignment horizontal="center" vertical="top" wrapText="1"/>
      <protection locked="0"/>
    </xf>
    <xf numFmtId="0" fontId="2" fillId="0" borderId="13" xfId="0" applyFont="1" applyBorder="1" applyAlignment="1" applyProtection="1">
      <alignment horizontal="left" vertical="top" wrapText="1"/>
      <protection locked="0"/>
    </xf>
    <xf numFmtId="0" fontId="2" fillId="17" borderId="3" xfId="0" applyFont="1" applyFill="1" applyBorder="1" applyAlignment="1" applyProtection="1">
      <alignment horizontal="center" vertical="top" wrapText="1"/>
      <protection locked="0"/>
    </xf>
    <xf numFmtId="0" fontId="2" fillId="0" borderId="6" xfId="0" applyFont="1" applyBorder="1" applyAlignment="1" applyProtection="1">
      <alignment horizontal="left" vertical="top" wrapText="1"/>
      <protection locked="0"/>
    </xf>
    <xf numFmtId="0" fontId="2" fillId="0" borderId="19" xfId="0" applyFont="1" applyBorder="1" applyAlignment="1" applyProtection="1">
      <alignment horizontal="left" vertical="top" wrapText="1"/>
      <protection locked="0"/>
    </xf>
    <xf numFmtId="14" fontId="2" fillId="0" borderId="5" xfId="0" applyNumberFormat="1" applyFont="1" applyBorder="1" applyAlignment="1" applyProtection="1">
      <alignment horizontal="center" vertical="top" wrapText="1"/>
      <protection locked="0"/>
    </xf>
    <xf numFmtId="0" fontId="2" fillId="0" borderId="0" xfId="0" applyFont="1"/>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applyFont="1" applyAlignment="1">
      <alignment horizontal="left"/>
    </xf>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14" fontId="0" fillId="0" borderId="0" xfId="0" applyNumberFormat="1" applyAlignment="1">
      <alignment horizontal="center"/>
    </xf>
    <xf numFmtId="0" fontId="2" fillId="0" borderId="28" xfId="0" applyFont="1" applyBorder="1" applyAlignment="1" applyProtection="1">
      <alignment horizontal="center" vertical="top" wrapText="1"/>
      <protection locked="0"/>
    </xf>
    <xf numFmtId="0" fontId="16" fillId="0" borderId="9" xfId="0" applyFont="1" applyBorder="1" applyAlignment="1" applyProtection="1">
      <alignment horizontal="center" vertical="top" wrapText="1"/>
      <protection locked="0"/>
    </xf>
    <xf numFmtId="0" fontId="16" fillId="16" borderId="1" xfId="0" applyFont="1" applyFill="1" applyBorder="1" applyAlignment="1" applyProtection="1">
      <alignment horizontal="left" vertical="top" wrapText="1"/>
      <protection locked="0"/>
    </xf>
    <xf numFmtId="0" fontId="2" fillId="16" borderId="5" xfId="0" applyFont="1" applyFill="1" applyBorder="1" applyAlignment="1" applyProtection="1">
      <alignment horizontal="left" vertical="top" wrapText="1"/>
      <protection locked="0"/>
    </xf>
    <xf numFmtId="0" fontId="12" fillId="20" borderId="0" xfId="0" applyFont="1" applyFill="1" applyAlignment="1">
      <alignment horizontal="center" vertical="center" wrapText="1"/>
    </xf>
    <xf numFmtId="17" fontId="22" fillId="7" borderId="22" xfId="0" applyNumberFormat="1" applyFont="1" applyFill="1" applyBorder="1" applyAlignment="1">
      <alignment horizontal="center" vertical="center" textRotation="90" wrapText="1"/>
    </xf>
    <xf numFmtId="0" fontId="2" fillId="0" borderId="0" xfId="0" applyFont="1" applyAlignment="1">
      <alignment wrapText="1"/>
    </xf>
    <xf numFmtId="0" fontId="3" fillId="0" borderId="0" xfId="0" applyFont="1" applyAlignment="1">
      <alignment wrapText="1"/>
    </xf>
    <xf numFmtId="0" fontId="13" fillId="0" borderId="0" xfId="0" applyFont="1" applyAlignment="1">
      <alignment horizontal="center" vertical="center" wrapText="1"/>
    </xf>
    <xf numFmtId="0" fontId="26" fillId="0" borderId="0" xfId="0" applyFont="1" applyAlignment="1">
      <alignment horizontal="center"/>
    </xf>
    <xf numFmtId="0" fontId="6" fillId="0" borderId="0" xfId="1" applyAlignment="1">
      <alignment vertical="center" wrapText="1"/>
    </xf>
    <xf numFmtId="0" fontId="27" fillId="10" borderId="4" xfId="0" applyFont="1" applyFill="1" applyBorder="1" applyAlignment="1">
      <alignment horizontal="center" vertical="center" indent="1" readingOrder="1"/>
    </xf>
    <xf numFmtId="0" fontId="28" fillId="0" borderId="4" xfId="0" applyFont="1" applyBorder="1" applyAlignment="1">
      <alignment horizontal="center" vertical="center" indent="1" readingOrder="1"/>
    </xf>
    <xf numFmtId="0" fontId="29" fillId="10" borderId="4" xfId="0" applyFont="1" applyFill="1" applyBorder="1" applyAlignment="1">
      <alignment horizontal="center" vertical="center" indent="1" readingOrder="1"/>
    </xf>
    <xf numFmtId="0" fontId="28" fillId="0" borderId="20" xfId="0" applyFont="1" applyBorder="1" applyAlignment="1">
      <alignment horizontal="center" vertical="center" indent="1" readingOrder="1"/>
    </xf>
    <xf numFmtId="0" fontId="28" fillId="0" borderId="3" xfId="0" applyFont="1" applyBorder="1" applyAlignment="1">
      <alignment horizontal="center" vertical="center" indent="1" readingOrder="1"/>
    </xf>
    <xf numFmtId="0" fontId="29" fillId="10" borderId="9" xfId="0" applyFont="1" applyFill="1" applyBorder="1" applyAlignment="1">
      <alignment horizontal="center" vertical="center" indent="1" readingOrder="1"/>
    </xf>
    <xf numFmtId="0" fontId="14" fillId="15" borderId="1" xfId="0" applyFont="1" applyFill="1" applyBorder="1" applyAlignment="1" applyProtection="1">
      <alignment horizontal="left" vertical="top" wrapText="1"/>
      <protection locked="0"/>
    </xf>
    <xf numFmtId="0" fontId="2" fillId="15" borderId="1" xfId="0" applyFont="1" applyFill="1" applyBorder="1" applyAlignment="1" applyProtection="1">
      <alignment horizontal="left" vertical="top" wrapText="1"/>
      <protection locked="0"/>
    </xf>
    <xf numFmtId="0" fontId="2" fillId="21" borderId="1" xfId="0" applyFont="1" applyFill="1" applyBorder="1" applyAlignment="1" applyProtection="1">
      <alignment horizontal="left" vertical="top" wrapText="1"/>
      <protection locked="0"/>
    </xf>
    <xf numFmtId="0" fontId="14" fillId="21" borderId="1" xfId="0" applyFont="1" applyFill="1" applyBorder="1" applyAlignment="1" applyProtection="1">
      <alignment horizontal="left" vertical="top" wrapText="1"/>
      <protection locked="0"/>
    </xf>
    <xf numFmtId="0" fontId="14" fillId="6" borderId="1" xfId="0" applyFont="1" applyFill="1" applyBorder="1" applyAlignment="1" applyProtection="1">
      <alignment horizontal="left" vertical="top" wrapText="1"/>
      <protection locked="0"/>
    </xf>
    <xf numFmtId="0" fontId="2" fillId="6" borderId="1" xfId="0" applyFont="1" applyFill="1" applyBorder="1" applyAlignment="1" applyProtection="1">
      <alignment horizontal="left" vertical="top" wrapText="1"/>
      <protection locked="0"/>
    </xf>
    <xf numFmtId="0" fontId="14" fillId="22" borderId="1" xfId="0" applyFont="1" applyFill="1" applyBorder="1" applyAlignment="1" applyProtection="1">
      <alignment horizontal="left" vertical="top" wrapText="1"/>
      <protection locked="0"/>
    </xf>
    <xf numFmtId="0" fontId="2" fillId="22" borderId="1" xfId="0" applyFont="1" applyFill="1" applyBorder="1" applyAlignment="1" applyProtection="1">
      <alignment horizontal="left" vertical="top" wrapText="1"/>
      <protection locked="0"/>
    </xf>
    <xf numFmtId="0" fontId="14" fillId="22" borderId="5" xfId="0" applyFont="1" applyFill="1" applyBorder="1" applyAlignment="1" applyProtection="1">
      <alignment horizontal="left" vertical="top" wrapText="1"/>
      <protection locked="0"/>
    </xf>
    <xf numFmtId="0" fontId="14" fillId="22" borderId="4" xfId="0" applyFont="1" applyFill="1" applyBorder="1" applyAlignment="1" applyProtection="1">
      <alignment horizontal="left" vertical="top" wrapText="1"/>
      <protection locked="0"/>
    </xf>
    <xf numFmtId="0" fontId="14" fillId="22" borderId="7" xfId="0" applyFont="1" applyFill="1" applyBorder="1" applyAlignment="1" applyProtection="1">
      <alignment horizontal="left" vertical="top" wrapText="1"/>
      <protection locked="0"/>
    </xf>
    <xf numFmtId="0" fontId="2" fillId="22" borderId="5" xfId="0" applyFont="1" applyFill="1" applyBorder="1" applyAlignment="1" applyProtection="1">
      <alignment horizontal="left" vertical="top" wrapText="1"/>
      <protection locked="0"/>
    </xf>
    <xf numFmtId="0" fontId="14" fillId="16" borderId="1" xfId="0" applyFont="1" applyFill="1" applyBorder="1" applyAlignment="1" applyProtection="1">
      <alignment horizontal="left" vertical="top" wrapText="1"/>
      <protection locked="0"/>
    </xf>
    <xf numFmtId="14" fontId="12" fillId="12" borderId="6" xfId="0" applyNumberFormat="1" applyFont="1" applyFill="1" applyBorder="1" applyAlignment="1" applyProtection="1">
      <alignment horizontal="center" vertical="center" wrapText="1"/>
      <protection locked="0"/>
    </xf>
    <xf numFmtId="0" fontId="2" fillId="0" borderId="23" xfId="0" applyFont="1" applyBorder="1" applyAlignment="1" applyProtection="1">
      <alignment horizontal="center" vertical="top" wrapText="1"/>
      <protection locked="0"/>
    </xf>
    <xf numFmtId="0" fontId="2" fillId="0" borderId="27" xfId="0" applyFont="1" applyBorder="1" applyAlignment="1" applyProtection="1">
      <alignment horizontal="center" vertical="top" wrapText="1"/>
      <protection locked="0"/>
    </xf>
    <xf numFmtId="0" fontId="14" fillId="16" borderId="3" xfId="0" applyFont="1" applyFill="1" applyBorder="1" applyAlignment="1" applyProtection="1">
      <alignment horizontal="left" vertical="top" wrapText="1"/>
      <protection locked="0"/>
    </xf>
    <xf numFmtId="0" fontId="14" fillId="16" borderId="4" xfId="0" applyFont="1" applyFill="1" applyBorder="1" applyAlignment="1" applyProtection="1">
      <alignment horizontal="left" vertical="top" wrapText="1"/>
      <protection locked="0"/>
    </xf>
    <xf numFmtId="0" fontId="0" fillId="22" borderId="1" xfId="0" applyFill="1" applyBorder="1" applyAlignment="1" applyProtection="1">
      <alignment horizontal="left" vertical="top" wrapText="1"/>
      <protection locked="0"/>
    </xf>
    <xf numFmtId="14" fontId="12" fillId="23" borderId="4" xfId="0" applyNumberFormat="1" applyFont="1" applyFill="1" applyBorder="1" applyAlignment="1" applyProtection="1">
      <alignment horizontal="center" vertical="center" wrapText="1"/>
      <protection locked="0"/>
    </xf>
    <xf numFmtId="0" fontId="0" fillId="18" borderId="4" xfId="0" applyFill="1" applyBorder="1" applyAlignment="1" applyProtection="1">
      <alignment horizontal="center" vertical="top" wrapText="1"/>
      <protection locked="0"/>
    </xf>
    <xf numFmtId="0" fontId="0" fillId="16" borderId="0" xfId="0" applyFill="1"/>
    <xf numFmtId="0" fontId="0" fillId="16" borderId="0" xfId="0" applyFill="1" applyAlignment="1">
      <alignment horizontal="center"/>
    </xf>
    <xf numFmtId="14" fontId="0" fillId="16" borderId="0" xfId="0" applyNumberFormat="1" applyFill="1" applyAlignment="1">
      <alignment horizontal="center"/>
    </xf>
    <xf numFmtId="0" fontId="2" fillId="16" borderId="0" xfId="0" applyFont="1" applyFill="1" applyAlignment="1">
      <alignment horizontal="center" vertical="center"/>
    </xf>
    <xf numFmtId="0" fontId="2" fillId="16" borderId="0" xfId="0" applyFont="1" applyFill="1"/>
    <xf numFmtId="0" fontId="3" fillId="16" borderId="0" xfId="0" applyFont="1" applyFill="1"/>
    <xf numFmtId="0" fontId="1" fillId="0" borderId="0" xfId="0" applyFont="1" applyAlignment="1" applyProtection="1">
      <alignment horizontal="center" vertical="top" wrapText="1"/>
      <protection locked="0"/>
    </xf>
    <xf numFmtId="0" fontId="1" fillId="0" borderId="4" xfId="0" applyFont="1" applyBorder="1" applyAlignment="1" applyProtection="1">
      <alignment horizontal="center" vertical="top" wrapText="1"/>
      <protection locked="0"/>
    </xf>
    <xf numFmtId="0" fontId="1" fillId="16" borderId="1" xfId="0" applyFont="1" applyFill="1" applyBorder="1" applyAlignment="1" applyProtection="1">
      <alignment horizontal="left" vertical="top" wrapText="1"/>
      <protection locked="0"/>
    </xf>
    <xf numFmtId="0" fontId="1" fillId="0" borderId="1" xfId="0" applyFont="1" applyBorder="1" applyAlignment="1" applyProtection="1">
      <alignment horizontal="center" vertical="top" wrapText="1"/>
      <protection locked="0"/>
    </xf>
    <xf numFmtId="0" fontId="1" fillId="0" borderId="5" xfId="0" applyFont="1" applyBorder="1" applyAlignment="1" applyProtection="1">
      <alignment horizontal="center" vertical="top" wrapText="1"/>
      <protection locked="0"/>
    </xf>
    <xf numFmtId="0" fontId="1" fillId="0" borderId="1" xfId="0" applyFont="1" applyBorder="1" applyAlignment="1" applyProtection="1">
      <alignment horizontal="left" vertical="top" wrapText="1"/>
      <protection locked="0"/>
    </xf>
    <xf numFmtId="14" fontId="1" fillId="0" borderId="1" xfId="0" applyNumberFormat="1" applyFont="1" applyBorder="1" applyAlignment="1" applyProtection="1">
      <alignment horizontal="center" vertical="top" wrapText="1"/>
      <protection locked="0"/>
    </xf>
    <xf numFmtId="14" fontId="1" fillId="0" borderId="1" xfId="0" applyNumberFormat="1" applyFont="1" applyBorder="1" applyAlignment="1">
      <alignment horizontal="center" vertical="top" wrapText="1"/>
    </xf>
    <xf numFmtId="0" fontId="1" fillId="0" borderId="1" xfId="0" applyFont="1" applyBorder="1" applyAlignment="1">
      <alignment horizontal="center" vertical="top" wrapText="1"/>
    </xf>
    <xf numFmtId="14" fontId="1" fillId="0" borderId="4" xfId="0" applyNumberFormat="1" applyFont="1" applyBorder="1" applyAlignment="1" applyProtection="1">
      <alignment horizontal="center" vertical="top" wrapText="1"/>
      <protection locked="0"/>
    </xf>
    <xf numFmtId="0" fontId="1" fillId="16" borderId="5" xfId="0" applyFont="1" applyFill="1" applyBorder="1" applyAlignment="1" applyProtection="1">
      <alignment horizontal="left" vertical="top" wrapText="1"/>
      <protection locked="0"/>
    </xf>
    <xf numFmtId="0" fontId="1" fillId="0" borderId="5" xfId="0" applyFont="1" applyBorder="1" applyAlignment="1" applyProtection="1">
      <alignment horizontal="left" vertical="top" wrapText="1"/>
      <protection locked="0"/>
    </xf>
    <xf numFmtId="14" fontId="1" fillId="0" borderId="5" xfId="0" applyNumberFormat="1" applyFont="1" applyBorder="1" applyAlignment="1" applyProtection="1">
      <alignment horizontal="center" vertical="top" wrapText="1"/>
      <protection locked="0"/>
    </xf>
    <xf numFmtId="14" fontId="1" fillId="0" borderId="5" xfId="0" applyNumberFormat="1" applyFont="1" applyBorder="1" applyAlignment="1">
      <alignment horizontal="center" vertical="top" wrapText="1"/>
    </xf>
    <xf numFmtId="0" fontId="1" fillId="0" borderId="5" xfId="0" applyFont="1" applyBorder="1" applyAlignment="1">
      <alignment horizontal="center" vertical="top" wrapText="1"/>
    </xf>
    <xf numFmtId="14" fontId="1" fillId="0" borderId="3" xfId="0" applyNumberFormat="1" applyFont="1" applyBorder="1" applyAlignment="1" applyProtection="1">
      <alignment horizontal="center" vertical="top" wrapText="1"/>
      <protection locked="0"/>
    </xf>
    <xf numFmtId="14" fontId="16" fillId="0" borderId="0" xfId="0" applyNumberFormat="1" applyFont="1" applyAlignment="1" applyProtection="1">
      <alignment horizontal="center" vertical="center"/>
      <protection locked="0"/>
    </xf>
    <xf numFmtId="14" fontId="0" fillId="0" borderId="0" xfId="0" applyNumberFormat="1" applyAlignment="1" applyProtection="1">
      <alignment horizontal="center" vertical="center"/>
      <protection locked="0"/>
    </xf>
    <xf numFmtId="14" fontId="17" fillId="0" borderId="0" xfId="0" applyNumberFormat="1" applyFont="1" applyAlignment="1" applyProtection="1">
      <alignment horizontal="center" vertical="center" wrapText="1"/>
      <protection locked="0"/>
    </xf>
    <xf numFmtId="0" fontId="27" fillId="10" borderId="4" xfId="0" applyFont="1" applyFill="1" applyBorder="1" applyAlignment="1">
      <alignment horizontal="center" vertical="center" indent="1" readingOrder="1"/>
    </xf>
    <xf numFmtId="0" fontId="27" fillId="10" borderId="3" xfId="0" applyFont="1" applyFill="1" applyBorder="1" applyAlignment="1">
      <alignment horizontal="center" vertical="center" wrapText="1" indent="1" readingOrder="1"/>
    </xf>
    <xf numFmtId="0" fontId="27" fillId="10" borderId="9" xfId="0" applyFont="1" applyFill="1" applyBorder="1" applyAlignment="1">
      <alignment horizontal="center" vertical="center" wrapText="1" indent="1" readingOrder="1"/>
    </xf>
    <xf numFmtId="0" fontId="2" fillId="15" borderId="21" xfId="0" applyFont="1" applyFill="1" applyBorder="1" applyAlignment="1">
      <alignment horizontal="center" vertical="center"/>
    </xf>
    <xf numFmtId="0" fontId="13" fillId="0" borderId="4" xfId="0" applyFont="1" applyBorder="1" applyAlignment="1">
      <alignment horizontal="center" vertical="top"/>
    </xf>
    <xf numFmtId="0" fontId="0" fillId="0" borderId="0" xfId="0" applyAlignment="1">
      <alignment horizontal="left" vertical="center" wrapText="1"/>
    </xf>
    <xf numFmtId="0" fontId="0" fillId="0" borderId="0" xfId="0" applyAlignment="1">
      <alignment horizontal="left" wrapText="1"/>
    </xf>
    <xf numFmtId="0" fontId="13" fillId="0" borderId="0" xfId="0" applyFont="1" applyAlignment="1">
      <alignment horizontal="left"/>
    </xf>
    <xf numFmtId="0" fontId="0" fillId="0" borderId="0" xfId="0" applyAlignment="1">
      <alignment horizontal="center" vertical="center" wrapText="1"/>
    </xf>
    <xf numFmtId="0" fontId="12" fillId="7" borderId="4" xfId="0" applyFont="1" applyFill="1" applyBorder="1" applyAlignment="1">
      <alignment horizontal="center" vertical="center"/>
    </xf>
    <xf numFmtId="0" fontId="0" fillId="0" borderId="13" xfId="0" applyBorder="1" applyAlignment="1">
      <alignment horizontal="center" vertical="center"/>
    </xf>
    <xf numFmtId="0" fontId="0" fillId="0" borderId="23" xfId="0" applyBorder="1" applyAlignment="1">
      <alignment horizontal="center" vertical="center"/>
    </xf>
    <xf numFmtId="0" fontId="0" fillId="0" borderId="20" xfId="0" applyBorder="1" applyAlignment="1">
      <alignment horizontal="center" vertical="center"/>
    </xf>
    <xf numFmtId="0" fontId="0" fillId="0" borderId="13" xfId="0" applyBorder="1" applyAlignment="1">
      <alignment horizontal="center" vertical="center" wrapText="1"/>
    </xf>
    <xf numFmtId="0" fontId="0" fillId="0" borderId="23" xfId="0" applyBorder="1" applyAlignment="1">
      <alignment horizontal="center" vertical="center" wrapText="1"/>
    </xf>
    <xf numFmtId="0" fontId="0" fillId="0" borderId="20" xfId="0" applyBorder="1" applyAlignment="1">
      <alignment horizontal="center" vertical="center" wrapText="1"/>
    </xf>
    <xf numFmtId="0" fontId="12" fillId="7" borderId="13" xfId="0" applyFont="1" applyFill="1" applyBorder="1" applyAlignment="1">
      <alignment horizontal="center" vertical="center"/>
    </xf>
    <xf numFmtId="0" fontId="12" fillId="7" borderId="20" xfId="0" applyFont="1" applyFill="1" applyBorder="1" applyAlignment="1">
      <alignment horizontal="center" vertical="center"/>
    </xf>
    <xf numFmtId="0" fontId="21" fillId="0" borderId="3" xfId="0" applyFont="1" applyBorder="1" applyAlignment="1">
      <alignment horizontal="left"/>
    </xf>
    <xf numFmtId="0" fontId="21" fillId="0" borderId="15" xfId="0" applyFont="1" applyBorder="1" applyAlignment="1">
      <alignment horizontal="left"/>
    </xf>
    <xf numFmtId="0" fontId="21" fillId="0" borderId="2" xfId="0" applyFont="1" applyBorder="1" applyAlignment="1">
      <alignment horizontal="left"/>
    </xf>
    <xf numFmtId="0" fontId="13" fillId="0" borderId="4" xfId="0" applyFont="1" applyBorder="1" applyAlignment="1">
      <alignment horizontal="center"/>
    </xf>
    <xf numFmtId="0" fontId="21" fillId="0" borderId="4" xfId="0" applyFont="1" applyBorder="1" applyAlignment="1">
      <alignment horizontal="left" wrapText="1"/>
    </xf>
    <xf numFmtId="0" fontId="21" fillId="0" borderId="20" xfId="0" applyFont="1" applyBorder="1" applyAlignment="1">
      <alignment horizontal="left" wrapText="1"/>
    </xf>
    <xf numFmtId="0" fontId="20" fillId="0" borderId="6" xfId="0" applyFont="1" applyBorder="1" applyAlignment="1">
      <alignment horizontal="center" vertical="center" wrapText="1"/>
    </xf>
    <xf numFmtId="0" fontId="20" fillId="0" borderId="4" xfId="0" applyFont="1" applyBorder="1" applyAlignment="1">
      <alignment horizontal="center"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0" xfId="0" applyNumberFormat="1"/>
    <xf numFmtId="0" fontId="0" fillId="0" borderId="0" xfId="0" applyNumberFormat="1" applyAlignment="1">
      <alignment horizontal="center" vertical="center"/>
    </xf>
  </cellXfs>
  <cellStyles count="6">
    <cellStyle name="Hyperlink" xfId="1" xr:uid="{00000000-0005-0000-0000-000000000000}"/>
    <cellStyle name="Normal" xfId="0" builtinId="0"/>
    <cellStyle name="Normal 2" xfId="2" xr:uid="{00000000-0005-0000-0000-000002000000}"/>
    <cellStyle name="Normal 2 2" xfId="4" xr:uid="{00000000-0005-0000-0000-000003000000}"/>
    <cellStyle name="Normal 9" xfId="5" xr:uid="{00000000-0005-0000-0000-000004000000}"/>
    <cellStyle name="Porcentaje 2" xfId="3" xr:uid="{00000000-0005-0000-0000-000005000000}"/>
  </cellStyles>
  <dxfs count="168">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numFmt numFmtId="19" formatCode="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9" formatCode="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color rgb="FF1D5D8C"/>
      </font>
      <fill>
        <patternFill patternType="solid">
          <bgColor rgb="FF0B3C5D"/>
        </patternFill>
      </fill>
      <border>
        <top style="thin">
          <color rgb="FFFFFFFF"/>
        </top>
        <bottom style="thin">
          <color rgb="FFFFFFFF"/>
        </bottom>
      </border>
    </dxf>
    <dxf>
      <font>
        <color rgb="FF8FBCE6"/>
      </font>
      <fill>
        <patternFill patternType="solid">
          <bgColor rgb="FF4F86C6"/>
        </patternFill>
      </fill>
      <border>
        <top style="thin">
          <color rgb="FFFFFFFF"/>
        </top>
        <bottom style="thin">
          <color rgb="FFFFFFFF"/>
        </bottom>
      </border>
    </dxf>
    <dxf>
      <font>
        <color rgb="FFCF8282"/>
      </font>
      <fill>
        <patternFill patternType="solid">
          <bgColor rgb="FFFFC000"/>
        </patternFill>
      </fill>
      <border>
        <top style="thin">
          <color rgb="FFFFFFFF"/>
        </top>
        <bottom style="thin">
          <color rgb="FFFFFFFF"/>
        </bottom>
      </border>
    </dxf>
    <dxf>
      <font>
        <color rgb="FF81B4E3"/>
      </font>
      <fill>
        <patternFill patternType="solid">
          <bgColor rgb="FF8FBCE6"/>
        </patternFill>
      </fill>
      <border>
        <top style="thin">
          <color rgb="FFFFFFFF"/>
        </top>
        <bottom style="thin">
          <color rgb="FFFFFFFF"/>
        </bottom>
      </border>
    </dxf>
    <dxf>
      <font>
        <color rgb="FF1D5D8C"/>
      </font>
      <fill>
        <patternFill patternType="solid">
          <bgColor rgb="FFC00000"/>
        </patternFill>
      </fill>
      <border>
        <top style="thin">
          <color rgb="FFFFFFFF"/>
        </top>
        <bottom style="thin">
          <color rgb="FFFFFFFF"/>
        </bottom>
      </border>
    </dxf>
    <dxf>
      <font>
        <color rgb="FF8FBCE6"/>
      </font>
      <fill>
        <patternFill patternType="solid">
          <bgColor rgb="FF4F86C6"/>
        </patternFill>
      </fill>
      <border>
        <top style="thin">
          <color rgb="FFFFFFFF"/>
        </top>
        <bottom style="thin">
          <color rgb="FFFFFFFF"/>
        </bottom>
      </border>
    </dxf>
    <dxf>
      <font>
        <color rgb="FFCF8282"/>
      </font>
      <fill>
        <patternFill patternType="solid">
          <bgColor rgb="FFFFC000"/>
        </patternFill>
      </fill>
      <border>
        <top style="thin">
          <color rgb="FFFFFFFF"/>
        </top>
        <bottom style="thin">
          <color rgb="FFFFFFFF"/>
        </bottom>
      </border>
    </dxf>
    <dxf>
      <font>
        <color rgb="FF1D5D8C"/>
      </font>
      <fill>
        <patternFill patternType="solid">
          <bgColor rgb="FF0B3C5D"/>
        </patternFill>
      </fill>
      <border>
        <top style="thin">
          <color rgb="FFFFFFFF"/>
        </top>
        <bottom style="thin">
          <color rgb="FFFFFFFF"/>
        </bottom>
      </border>
    </dxf>
    <dxf>
      <font>
        <color rgb="FF1D5D8C"/>
      </font>
      <fill>
        <patternFill patternType="solid">
          <bgColor rgb="FFC00000"/>
        </patternFill>
      </fill>
      <border>
        <top style="thin">
          <color rgb="FFFFFFFF"/>
        </top>
        <bottom style="thin">
          <color rgb="FFFFFFFF"/>
        </bottom>
      </border>
    </dxf>
    <dxf>
      <font>
        <color rgb="FF81B4E3"/>
      </font>
      <fill>
        <patternFill patternType="solid">
          <bgColor rgb="FF8FBCE6"/>
        </patternFill>
      </fill>
      <border>
        <top style="thin">
          <color rgb="FFFFFFFF"/>
        </top>
        <bottom style="thin">
          <color rgb="FFFFFFFF"/>
        </bottom>
      </border>
    </dxf>
    <dxf>
      <font>
        <color rgb="FF81B4E3"/>
      </font>
      <fill>
        <patternFill patternType="solid">
          <bgColor rgb="FF8FBCE6"/>
        </patternFill>
      </fill>
      <border>
        <top style="thin">
          <color rgb="FFFFFFFF"/>
        </top>
        <bottom style="thin">
          <color rgb="FFFFFFFF"/>
        </bottom>
      </border>
    </dxf>
    <dxf>
      <font>
        <color rgb="FF1D5D8C"/>
      </font>
      <fill>
        <patternFill patternType="solid">
          <bgColor rgb="FFC00000"/>
        </patternFill>
      </fill>
      <border>
        <top style="thin">
          <color rgb="FFFFFFFF"/>
        </top>
        <bottom style="thin">
          <color rgb="FFFFFFFF"/>
        </bottom>
      </border>
    </dxf>
    <dxf>
      <font>
        <color rgb="FF1D5D8C"/>
      </font>
      <fill>
        <patternFill patternType="solid">
          <bgColor rgb="FF0B3C5D"/>
        </patternFill>
      </fill>
      <border>
        <top style="thin">
          <color rgb="FFFFFFFF"/>
        </top>
        <bottom style="thin">
          <color rgb="FFFFFFFF"/>
        </bottom>
      </border>
    </dxf>
    <dxf>
      <font>
        <color rgb="FFCF8282"/>
      </font>
      <fill>
        <patternFill patternType="solid">
          <bgColor rgb="FFFFC000"/>
        </patternFill>
      </fill>
      <border>
        <top style="thin">
          <color rgb="FFFFFFFF"/>
        </top>
        <bottom style="thin">
          <color rgb="FFFFFFFF"/>
        </bottom>
      </border>
    </dxf>
    <dxf>
      <font>
        <color rgb="FF8FBCE6"/>
      </font>
      <fill>
        <patternFill patternType="solid">
          <bgColor rgb="FF4F86C6"/>
        </patternFill>
      </fill>
      <border>
        <top style="thin">
          <color rgb="FFFFFFFF"/>
        </top>
        <bottom style="thin">
          <color rgb="FFFFFFFF"/>
        </bottom>
      </border>
    </dxf>
    <dxf>
      <font>
        <color rgb="FF1D5D8C"/>
      </font>
      <fill>
        <patternFill patternType="solid">
          <bgColor rgb="FF0B3C5D"/>
        </patternFill>
      </fill>
      <border>
        <top style="thin">
          <color rgb="FFFFFFFF"/>
        </top>
        <bottom style="thin">
          <color rgb="FFFFFFFF"/>
        </bottom>
      </border>
    </dxf>
    <dxf>
      <font>
        <color rgb="FF1D5D8C"/>
      </font>
      <fill>
        <patternFill patternType="solid">
          <bgColor rgb="FFC00000"/>
        </patternFill>
      </fill>
      <border>
        <top style="thin">
          <color rgb="FFFFFFFF"/>
        </top>
        <bottom style="thin">
          <color rgb="FFFFFFFF"/>
        </bottom>
      </border>
    </dxf>
    <dxf>
      <font>
        <color rgb="FF81B4E3"/>
      </font>
      <fill>
        <patternFill patternType="solid">
          <bgColor rgb="FF8FBCE6"/>
        </patternFill>
      </fill>
      <border>
        <top style="thin">
          <color rgb="FFFFFFFF"/>
        </top>
        <bottom style="thin">
          <color rgb="FFFFFFFF"/>
        </bottom>
      </border>
    </dxf>
    <dxf>
      <font>
        <color rgb="FF8FBCE6"/>
      </font>
      <fill>
        <patternFill patternType="solid">
          <bgColor rgb="FF4F86C6"/>
        </patternFill>
      </fill>
      <border>
        <top style="thin">
          <color rgb="FFFFFFFF"/>
        </top>
        <bottom style="thin">
          <color rgb="FFFFFFFF"/>
        </bottom>
      </border>
    </dxf>
    <dxf>
      <font>
        <color rgb="FFCF8282"/>
      </font>
      <fill>
        <patternFill patternType="solid">
          <bgColor rgb="FFFFC000"/>
        </patternFill>
      </fill>
      <border>
        <top style="thin">
          <color rgb="FFFFFFFF"/>
        </top>
        <bottom style="thin">
          <color rgb="FFFFFFFF"/>
        </bottom>
      </border>
    </dxf>
    <dxf>
      <font>
        <color rgb="FF1D5D8C"/>
      </font>
      <fill>
        <patternFill patternType="solid">
          <bgColor rgb="FF0B3C5D"/>
        </patternFill>
      </fill>
      <border>
        <top style="thin">
          <color rgb="FFFFFFFF"/>
        </top>
        <bottom style="thin">
          <color rgb="FFFFFFFF"/>
        </bottom>
      </border>
    </dxf>
    <dxf>
      <font>
        <color rgb="FF1D5D8C"/>
      </font>
      <fill>
        <patternFill patternType="solid">
          <bgColor rgb="FFC00000"/>
        </patternFill>
      </fill>
      <border>
        <top style="thin">
          <color rgb="FFFFFFFF"/>
        </top>
        <bottom style="thin">
          <color rgb="FFFFFFFF"/>
        </bottom>
      </border>
    </dxf>
    <dxf>
      <font>
        <color rgb="FF81B4E3"/>
      </font>
      <fill>
        <patternFill patternType="solid">
          <bgColor rgb="FF8FBCE6"/>
        </patternFill>
      </fill>
      <border>
        <top style="thin">
          <color rgb="FFFFFFFF"/>
        </top>
        <bottom style="thin">
          <color rgb="FFFFFFFF"/>
        </bottom>
      </border>
    </dxf>
    <dxf>
      <font>
        <color rgb="FF8FBCE6"/>
      </font>
      <fill>
        <patternFill patternType="solid">
          <bgColor rgb="FF4F86C6"/>
        </patternFill>
      </fill>
      <border>
        <top style="thin">
          <color rgb="FFFFFFFF"/>
        </top>
        <bottom style="thin">
          <color rgb="FFFFFFFF"/>
        </bottom>
      </border>
    </dxf>
    <dxf>
      <font>
        <color rgb="FFCF8282"/>
      </font>
      <fill>
        <patternFill patternType="solid">
          <bgColor rgb="FFFFC000"/>
        </patternFill>
      </fill>
      <border>
        <top style="thin">
          <color rgb="FFFFFFFF"/>
        </top>
        <bottom style="thin">
          <color rgb="FFFFFFFF"/>
        </bottom>
      </border>
    </dxf>
    <dxf>
      <font>
        <color rgb="FFCF8282"/>
      </font>
      <fill>
        <patternFill patternType="solid">
          <bgColor rgb="FFFFC000"/>
        </patternFill>
      </fill>
      <border>
        <top style="thin">
          <color rgb="FFFFFFFF"/>
        </top>
        <bottom style="thin">
          <color rgb="FFFFFFFF"/>
        </bottom>
      </border>
    </dxf>
    <dxf>
      <font>
        <color rgb="FF1D5D8C"/>
      </font>
      <fill>
        <patternFill patternType="solid">
          <bgColor rgb="FF0B3C5D"/>
        </patternFill>
      </fill>
      <border>
        <top style="thin">
          <color rgb="FFFFFFFF"/>
        </top>
        <bottom style="thin">
          <color rgb="FFFFFFFF"/>
        </bottom>
      </border>
    </dxf>
    <dxf>
      <font>
        <color rgb="FF81B4E3"/>
      </font>
      <fill>
        <patternFill patternType="solid">
          <bgColor rgb="FF8FBCE6"/>
        </patternFill>
      </fill>
      <border>
        <top style="thin">
          <color rgb="FFFFFFFF"/>
        </top>
        <bottom style="thin">
          <color rgb="FFFFFFFF"/>
        </bottom>
      </border>
    </dxf>
    <dxf>
      <font>
        <color rgb="FF1D5D8C"/>
      </font>
      <fill>
        <patternFill patternType="solid">
          <bgColor rgb="FFC00000"/>
        </patternFill>
      </fill>
      <border>
        <top style="thin">
          <color rgb="FFFFFFFF"/>
        </top>
        <bottom style="thin">
          <color rgb="FFFFFFFF"/>
        </bottom>
      </border>
    </dxf>
    <dxf>
      <font>
        <color rgb="FF8FBCE6"/>
      </font>
      <fill>
        <patternFill patternType="solid">
          <bgColor rgb="FF4F86C6"/>
        </patternFill>
      </fill>
      <border>
        <top style="thin">
          <color rgb="FFFFFFFF"/>
        </top>
        <bottom style="thin">
          <color rgb="FFFFFFFF"/>
        </bottom>
      </border>
    </dxf>
    <dxf>
      <font>
        <color rgb="FF1D5D8C"/>
      </font>
      <fill>
        <patternFill patternType="solid">
          <bgColor rgb="FF0B3C5D"/>
        </patternFill>
      </fill>
      <border>
        <top style="thin">
          <color rgb="FFFFFFFF"/>
        </top>
        <bottom style="thin">
          <color rgb="FFFFFFFF"/>
        </bottom>
      </border>
    </dxf>
    <dxf>
      <font>
        <color rgb="FFCF8282"/>
      </font>
      <fill>
        <patternFill patternType="solid">
          <bgColor rgb="FFFFC000"/>
        </patternFill>
      </fill>
      <border>
        <top style="thin">
          <color rgb="FFFFFFFF"/>
        </top>
        <bottom style="thin">
          <color rgb="FFFFFFFF"/>
        </bottom>
      </border>
    </dxf>
    <dxf>
      <font>
        <color rgb="FF8FBCE6"/>
      </font>
      <fill>
        <patternFill patternType="solid">
          <bgColor rgb="FF4F86C6"/>
        </patternFill>
      </fill>
      <border>
        <top style="thin">
          <color rgb="FFFFFFFF"/>
        </top>
        <bottom style="thin">
          <color rgb="FFFFFFFF"/>
        </bottom>
      </border>
    </dxf>
    <dxf>
      <font>
        <color rgb="FF81B4E3"/>
      </font>
      <fill>
        <patternFill patternType="solid">
          <bgColor rgb="FF8FBCE6"/>
        </patternFill>
      </fill>
      <border>
        <top style="thin">
          <color rgb="FFFFFFFF"/>
        </top>
        <bottom style="thin">
          <color rgb="FFFFFFFF"/>
        </bottom>
      </border>
    </dxf>
    <dxf>
      <font>
        <color rgb="FF1D5D8C"/>
      </font>
      <fill>
        <patternFill patternType="solid">
          <bgColor rgb="FFC00000"/>
        </patternFill>
      </fill>
      <border>
        <top style="thin">
          <color rgb="FFFFFFFF"/>
        </top>
        <bottom style="thin">
          <color rgb="FFFFFFFF"/>
        </bottom>
      </border>
    </dxf>
    <dxf>
      <font>
        <color rgb="FF9C0006"/>
      </font>
      <fill>
        <patternFill>
          <bgColor rgb="FFFFC7CE"/>
        </patternFill>
      </fill>
    </dxf>
    <dxf>
      <font>
        <b/>
        <i val="0"/>
        <color theme="9" tint="-0.499984740745262"/>
      </font>
      <fill>
        <patternFill patternType="solid">
          <bgColor theme="9" tint="0.59999389629810485"/>
        </patternFill>
      </fill>
    </dxf>
    <dxf>
      <font>
        <b/>
        <i val="0"/>
        <color theme="7" tint="-0.499984740745262"/>
      </font>
      <fill>
        <patternFill patternType="solid">
          <bgColor theme="7" tint="0.59999389629810485"/>
        </patternFill>
      </fill>
    </dxf>
    <dxf>
      <numFmt numFmtId="19" formatCode="d/mm/yyyy"/>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center" vertical="center"/>
    </dxf>
    <dxf>
      <border>
        <bottom style="thin">
          <color rgb="FF000000"/>
        </bottom>
      </border>
    </dxf>
    <dxf>
      <font>
        <b/>
        <color theme="0"/>
      </font>
      <fill>
        <patternFill patternType="solid">
          <fgColor indexed="64"/>
          <bgColor rgb="FF002060"/>
        </patternFill>
      </fill>
      <alignment horizontal="center" vertical="center"/>
      <border>
        <left style="thin">
          <color rgb="FF000000"/>
        </left>
        <right style="thin">
          <color rgb="FF000000"/>
        </right>
        <top/>
        <bottom/>
        <vertical style="thin">
          <color rgb="FF000000"/>
        </vertical>
        <horizontal style="thin">
          <color rgb="FF000000"/>
        </horizontal>
      </border>
    </dxf>
    <dxf>
      <numFmt numFmtId="19" formatCode="d/mm/yyyy"/>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rgb="FF0B3C5D"/>
        </patternFill>
      </fill>
      <alignment horizontal="center"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numFmt numFmtId="19" formatCode="d/mm/yyyy"/>
    </dxf>
    <dxf>
      <numFmt numFmtId="19" formatCode="d/mm/yyyy"/>
    </dxf>
    <dxf>
      <numFmt numFmtId="19" formatCode="d/mm/yyyy"/>
    </dxf>
    <dxf>
      <numFmt numFmtId="19" formatCode="d/mm/yyyy"/>
    </dxf>
    <dxf>
      <numFmt numFmtId="19" formatCode="d/mm/yyyy"/>
    </dxf>
    <dxf>
      <numFmt numFmtId="19" formatCode="d/mm/yyyy"/>
    </dxf>
    <dxf>
      <font>
        <name val="Calibri"/>
        <scheme val="minor"/>
      </font>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name val="Calibri"/>
        <scheme val="minor"/>
      </font>
      <numFmt numFmtId="0" formatCode="General"/>
      <alignment horizontal="center" vertical="top" textRotation="0" wrapText="1" indent="0" justifyLastLine="0" shrinkToFit="0" readingOrder="0"/>
      <protection locked="0" hidden="0"/>
    </dxf>
    <dxf>
      <font>
        <name val="Calibri"/>
        <scheme val="minor"/>
      </font>
      <numFmt numFmtId="0" formatCode="General"/>
      <alignment horizontal="center" vertical="top" textRotation="0" wrapText="1" indent="0" justifyLastLine="0" shrinkToFit="0" readingOrder="0"/>
      <protection locked="0" hidden="0"/>
    </dxf>
    <dxf>
      <font>
        <b val="0"/>
        <i val="0"/>
        <strike val="0"/>
        <condense val="0"/>
        <extend val="0"/>
        <outline val="0"/>
        <shadow val="0"/>
        <u val="none"/>
        <vertAlign val="baseline"/>
        <sz val="11"/>
        <color theme="1"/>
        <name val="Calibri"/>
        <scheme val="minor"/>
      </font>
      <numFmt numFmtId="19" formatCode="d/mm/yyyy"/>
      <alignment horizontal="center"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name val="Calibri"/>
        <scheme val="minor"/>
      </font>
      <numFmt numFmtId="19" formatCode="d/mm/yyyy"/>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numFmt numFmtId="0" formatCode="Genera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name val="Calibri"/>
        <scheme val="minor"/>
      </font>
      <numFmt numFmtId="19" formatCode="d/mm/yyyy"/>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name val="Calibri"/>
        <scheme val="minor"/>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name val="Calibri"/>
        <scheme val="minor"/>
      </font>
      <numFmt numFmtId="19" formatCode="d/mm/yyyy"/>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name val="Calibri"/>
        <scheme val="minor"/>
      </font>
      <numFmt numFmtId="19" formatCode="d/mm/yyyy"/>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name val="Calibri"/>
        <scheme val="minor"/>
      </font>
      <numFmt numFmtId="19" formatCode="d/mm/yyyy"/>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name val="Calibri"/>
        <scheme val="minor"/>
      </font>
      <fill>
        <patternFill patternType="none"/>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numFmt numFmtId="0" formatCode="General"/>
      <alignment horizontal="center" vertical="top"/>
    </dxf>
    <dxf>
      <font>
        <name val="Calibri"/>
        <scheme val="minor"/>
      </font>
      <numFmt numFmtId="0" formatCode="Genera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numFmt numFmtId="0" formatCode="General"/>
      <fill>
        <patternFill patternType="none">
          <fgColor indexed="64"/>
          <bgColor auto="1"/>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name val="Calibri"/>
        <scheme val="minor"/>
      </font>
      <alignment horizontal="center" vertical="top" textRotation="0" wrapText="1" indent="0" justifyLastLine="0" shrinkToFit="0" readingOrder="0"/>
      <protection locked="0" hidden="0"/>
    </dxf>
    <dxf>
      <alignment horizontal="center" vertical="top" textRotation="0" wrapText="1" indent="0" justifyLastLine="0" shrinkToFit="0" readingOrder="0"/>
      <protection locked="0" hidden="0"/>
    </dxf>
  </dxfs>
  <tableStyles count="0" defaultTableStyle="TableStyleMedium2" defaultPivotStyle="PivotStyleLight16"/>
  <colors>
    <mruColors>
      <color rgb="FF0B3C5D"/>
      <color rgb="FF8FBCE6"/>
      <color rgb="FF81B4E3"/>
      <color rgb="FF76A1C4"/>
      <color rgb="FF4F86C6"/>
      <color rgb="FF4D7B9E"/>
      <color rgb="FF497799"/>
      <color rgb="FF1D5D8C"/>
      <color rgb="FF4472C4"/>
      <color rgb="FFD15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oneCell">
    <xdr:from>
      <xdr:col>0</xdr:col>
      <xdr:colOff>23811</xdr:colOff>
      <xdr:row>0</xdr:row>
      <xdr:rowOff>138113</xdr:rowOff>
    </xdr:from>
    <xdr:to>
      <xdr:col>3</xdr:col>
      <xdr:colOff>1524000</xdr:colOff>
      <xdr:row>1</xdr:row>
      <xdr:rowOff>435769</xdr:rowOff>
    </xdr:to>
    <mc:AlternateContent xmlns:mc="http://schemas.openxmlformats.org/markup-compatibility/2006" xmlns:a14="http://schemas.microsoft.com/office/drawing/2010/main">
      <mc:Choice Requires="a14">
        <xdr:graphicFrame macro="">
          <xdr:nvGraphicFramePr>
            <xdr:cNvPr id="2" name="Tamaño">
              <a:extLst>
                <a:ext uri="{FF2B5EF4-FFF2-40B4-BE49-F238E27FC236}">
                  <a16:creationId xmlns:a16="http://schemas.microsoft.com/office/drawing/2014/main" id="{81708397-CFC4-4416-A758-0AD842B18F5C}"/>
                </a:ext>
              </a:extLst>
            </xdr:cNvPr>
            <xdr:cNvGraphicFramePr/>
          </xdr:nvGraphicFramePr>
          <xdr:xfrm>
            <a:off x="0" y="0"/>
            <a:ext cx="0" cy="0"/>
          </xdr:xfrm>
          <a:graphic>
            <a:graphicData uri="http://schemas.microsoft.com/office/drawing/2010/slicer">
              <sle:slicer xmlns:sle="http://schemas.microsoft.com/office/drawing/2010/slicer" name="Tamaño"/>
            </a:graphicData>
          </a:graphic>
        </xdr:graphicFrame>
      </mc:Choice>
      <mc:Fallback xmlns="">
        <xdr:sp macro="" textlink="">
          <xdr:nvSpPr>
            <xdr:cNvPr id="0" name=""/>
            <xdr:cNvSpPr>
              <a:spLocks noTextEdit="1"/>
            </xdr:cNvSpPr>
          </xdr:nvSpPr>
          <xdr:spPr>
            <a:xfrm>
              <a:off x="23811" y="138113"/>
              <a:ext cx="7329488" cy="657225"/>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66675</xdr:colOff>
      <xdr:row>21</xdr:row>
      <xdr:rowOff>47626</xdr:rowOff>
    </xdr:from>
    <xdr:to>
      <xdr:col>0</xdr:col>
      <xdr:colOff>2148840</xdr:colOff>
      <xdr:row>24</xdr:row>
      <xdr:rowOff>129541</xdr:rowOff>
    </xdr:to>
    <mc:AlternateContent xmlns:mc="http://schemas.openxmlformats.org/markup-compatibility/2006" xmlns:a14="http://schemas.microsoft.com/office/drawing/2010/main">
      <mc:Choice Requires="a14">
        <xdr:graphicFrame macro="">
          <xdr:nvGraphicFramePr>
            <xdr:cNvPr id="4" name="Tiene Anexo 2 ¿?">
              <a:extLst>
                <a:ext uri="{FF2B5EF4-FFF2-40B4-BE49-F238E27FC236}">
                  <a16:creationId xmlns:a16="http://schemas.microsoft.com/office/drawing/2014/main" id="{BD54B241-50C5-4D8A-BB45-901607B17CED}"/>
                </a:ext>
              </a:extLst>
            </xdr:cNvPr>
            <xdr:cNvGraphicFramePr/>
          </xdr:nvGraphicFramePr>
          <xdr:xfrm>
            <a:off x="0" y="0"/>
            <a:ext cx="0" cy="0"/>
          </xdr:xfrm>
          <a:graphic>
            <a:graphicData uri="http://schemas.microsoft.com/office/drawing/2010/slicer">
              <sle:slicer xmlns:sle="http://schemas.microsoft.com/office/drawing/2010/slicer" name="Tiene Anexo 2 ¿?"/>
            </a:graphicData>
          </a:graphic>
        </xdr:graphicFrame>
      </mc:Choice>
      <mc:Fallback xmlns="">
        <xdr:sp macro="" textlink="">
          <xdr:nvSpPr>
            <xdr:cNvPr id="0" name=""/>
            <xdr:cNvSpPr>
              <a:spLocks noTextEdit="1"/>
            </xdr:cNvSpPr>
          </xdr:nvSpPr>
          <xdr:spPr>
            <a:xfrm>
              <a:off x="66675" y="4572001"/>
              <a:ext cx="2076450" cy="647700"/>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2209799</xdr:colOff>
      <xdr:row>21</xdr:row>
      <xdr:rowOff>57150</xdr:rowOff>
    </xdr:from>
    <xdr:to>
      <xdr:col>4</xdr:col>
      <xdr:colOff>1180147</xdr:colOff>
      <xdr:row>24</xdr:row>
      <xdr:rowOff>131445</xdr:rowOff>
    </xdr:to>
    <mc:AlternateContent xmlns:mc="http://schemas.openxmlformats.org/markup-compatibility/2006" xmlns:a14="http://schemas.microsoft.com/office/drawing/2010/main">
      <mc:Choice Requires="a14">
        <xdr:graphicFrame macro="">
          <xdr:nvGraphicFramePr>
            <xdr:cNvPr id="5" name="Tamaño 1">
              <a:extLst>
                <a:ext uri="{FF2B5EF4-FFF2-40B4-BE49-F238E27FC236}">
                  <a16:creationId xmlns:a16="http://schemas.microsoft.com/office/drawing/2014/main" id="{E3752606-0C6E-47DF-9DEF-EB8041823E3D}"/>
                </a:ext>
              </a:extLst>
            </xdr:cNvPr>
            <xdr:cNvGraphicFramePr/>
          </xdr:nvGraphicFramePr>
          <xdr:xfrm>
            <a:off x="0" y="0"/>
            <a:ext cx="0" cy="0"/>
          </xdr:xfrm>
          <a:graphic>
            <a:graphicData uri="http://schemas.microsoft.com/office/drawing/2010/slicer">
              <sle:slicer xmlns:sle="http://schemas.microsoft.com/office/drawing/2010/slicer" name="Tamaño 1"/>
            </a:graphicData>
          </a:graphic>
        </xdr:graphicFrame>
      </mc:Choice>
      <mc:Fallback xmlns="">
        <xdr:sp macro="" textlink="">
          <xdr:nvSpPr>
            <xdr:cNvPr id="0" name=""/>
            <xdr:cNvSpPr>
              <a:spLocks noTextEdit="1"/>
            </xdr:cNvSpPr>
          </xdr:nvSpPr>
          <xdr:spPr>
            <a:xfrm>
              <a:off x="2209799" y="4581525"/>
              <a:ext cx="6522245" cy="657225"/>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CZ" id="{1FA46006-A20B-4F4C-A3FC-7A05C4BBE10C}">
    <nsvFilter filterId="{00000000-0009-0000-0100-00000E000000}" ref="A4:AB132" tableId="14">
      <columnFilter colId="5" id="{00000000-0010-0000-0000-000007000000}">
        <filter colId="5">
          <x:filters>
            <x:filter val="OPLAFT"/>
          </x:filters>
        </filter>
      </columnFilter>
      <columnFilter colId="14" id="{68EE5BA0-AE44-4397-843D-909ED7C87C9F}">
        <filter colId="14">
          <x:filters>
            <x:filter val="Juan Carlos Zavaleta"/>
          </x:filters>
        </filter>
      </columnFilter>
    </nsvFilter>
  </namedSheetView>
  <namedSheetView name="OISS" id="{62063AE3-4606-4750-A493-1FCC0B6E02C1}">
    <nsvFilter filterId="{00000000-0009-0000-0100-00000E000000}" ref="A4:AB132" tableId="14"/>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CZ" id="{23165F15-7729-4927-966B-D8723CE18B84}">
    <nsvFilter filterId="{00000000-0009-0000-0000-000002000000}" ref="A1:N238" tableId="0"/>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Gutierrez Herrera" refreshedDate="46186.563780671298" createdVersion="7" refreshedVersion="8" minRefreshableVersion="3" recordCount="128" xr:uid="{00000000-000A-0000-FFFF-FFFF00000000}">
  <cacheSource type="worksheet">
    <worksheetSource name="PRIORIDAD_UNO"/>
  </cacheSource>
  <cacheFields count="28">
    <cacheField name="Nombre del requerimiento" numFmtId="0">
      <sharedItems/>
    </cacheField>
    <cacheField name="Prioridad" numFmtId="0">
      <sharedItems containsSemiMixedTypes="0" containsString="0" containsNumber="1" containsInteger="1" minValue="1" maxValue="1"/>
    </cacheField>
    <cacheField name="Orden de Atención" numFmtId="0">
      <sharedItems containsBlank="1" containsMixedTypes="1" containsNumber="1" containsInteger="1" minValue="1" maxValue="47"/>
    </cacheField>
    <cacheField name="Esfuerzo Estimado Desarrollo" numFmtId="0">
      <sharedItems containsBlank="1"/>
    </cacheField>
    <cacheField name="Tamaño" numFmtId="0">
      <sharedItems containsBlank="1" count="13">
        <s v="Pequeño"/>
        <s v="Grande"/>
        <s v="Mediano"/>
        <s v="No definido"/>
        <s v="Extra Grande"/>
        <s v="Proyecto"/>
        <m u="1"/>
        <s v="Observado" u="1"/>
        <s v="TDR" u="1"/>
        <s v="En Producción" u="1"/>
        <s v="No aplica" u="1"/>
        <s v="Por definir" u="1"/>
        <s v="Descartado" u="1"/>
      </sharedItems>
    </cacheField>
    <cacheField name="Gerencia" numFmtId="0">
      <sharedItems containsBlank="1" count="16">
        <s v="Banca Digital"/>
        <s v="Operaciones"/>
        <s v="Productos e Inclusión Financiera"/>
        <s v="Finanzas y Tesorería"/>
        <s v="Riesgos"/>
        <s v="Red de Agencias"/>
        <s v="Administración y Logistica"/>
        <s v="OPLAFT"/>
        <s v="Innovación y Transformación Digital"/>
        <s v="Administración y Logistica " u="1"/>
        <m u="1"/>
        <s v="Recursos Humanos y Cultura" u="1"/>
        <s v="Tecnologías de Información" u="1"/>
        <s v="Oficialia de Cumplimiento Normativo y Conducta de Mercado " u="1"/>
        <s v="Comunicaciones y Relaciones Institucionales" u="1"/>
        <s v="Gerencia de Innovación y Transformación Digital" u="1"/>
      </sharedItems>
    </cacheField>
    <cacheField name="Subgerencia" numFmtId="0">
      <sharedItems/>
    </cacheField>
    <cacheField name="Sección" numFmtId="0">
      <sharedItems containsBlank="1"/>
    </cacheField>
    <cacheField name="Memorando 2026" numFmtId="0">
      <sharedItems containsBlank="1"/>
    </cacheField>
    <cacheField name="Tiene Anexo 2" numFmtId="0">
      <sharedItems containsBlank="1" count="5">
        <s v="Sí"/>
        <s v="No"/>
        <m u="1"/>
        <s v="Si" u="1"/>
        <s v="TDR" u="1"/>
      </sharedItems>
    </cacheField>
    <cacheField name="Categoría" numFmtId="0">
      <sharedItems containsBlank="1" count="8">
        <s v="Evolutivo"/>
        <s v="Mandatorio"/>
        <s v="Recomendación"/>
        <s v="Normativo"/>
        <s v="Correctivo"/>
        <m/>
        <s v="TDR" u="1"/>
        <s v="Requerimiento" u="1"/>
      </sharedItems>
    </cacheField>
    <cacheField name="Estado Evaluación de Iniciativas" numFmtId="0">
      <sharedItems containsBlank="1" count="6">
        <s v="Por evaluar"/>
        <s v="Pendiente de Atención"/>
        <s v="Observado"/>
        <s v="Descartado"/>
        <m u="1"/>
        <s v="En proceso" u="1"/>
      </sharedItems>
    </cacheField>
    <cacheField name="Seccion TI" numFmtId="0">
      <sharedItems containsBlank="1"/>
    </cacheField>
    <cacheField name="Responsable de atención" numFmtId="0">
      <sharedItems containsBlank="1"/>
    </cacheField>
    <cacheField name="Gestor" numFmtId="0">
      <sharedItems/>
    </cacheField>
    <cacheField name="Comentario" numFmtId="0">
      <sharedItems containsBlank="1"/>
    </cacheField>
    <cacheField name="Comienzo Desarrollo" numFmtId="0">
      <sharedItems containsNonDate="0" containsDate="1" containsString="0" containsBlank="1" minDate="2026-04-01T00:00:00" maxDate="2027-12-07T00:00:00"/>
    </cacheField>
    <cacheField name="Fin Desarrollo" numFmtId="14">
      <sharedItems containsDate="1" containsMixedTypes="1" minDate="2026-07-07T00:00:00" maxDate="2028-03-10T00:00:00"/>
    </cacheField>
    <cacheField name="Comienzo Calidad" numFmtId="14">
      <sharedItems containsDate="1" containsMixedTypes="1" minDate="2026-07-14T00:00:00" maxDate="2028-03-17T00:00:00"/>
    </cacheField>
    <cacheField name="Fin Calidad" numFmtId="14">
      <sharedItems containsDate="1" containsMixedTypes="1" minDate="2026-08-31T00:00:00" maxDate="2028-05-12T00:00:00"/>
    </cacheField>
    <cacheField name="Comienzo Producción" numFmtId="14">
      <sharedItems containsDate="1" containsMixedTypes="1" minDate="2026-09-07T00:00:00" maxDate="2028-05-19T00:00:00"/>
    </cacheField>
    <cacheField name="Fin Producción" numFmtId="14">
      <sharedItems containsDate="1" containsMixedTypes="1" minDate="2026-09-14T00:00:00" maxDate="2028-05-26T00:00:00"/>
    </cacheField>
    <cacheField name="Días Calendario" numFmtId="0">
      <sharedItems containsMixedTypes="1" containsNumber="1" containsInteger="1" minValue="107" maxValue="356"/>
    </cacheField>
    <cacheField name="Hay Fecha Inicio" numFmtId="14">
      <sharedItems count="2">
        <s v="Sin Fecha"/>
        <s v="Con Fecha"/>
      </sharedItems>
    </cacheField>
    <cacheField name="Tiene esfuerzo" numFmtId="14">
      <sharedItems containsBlank="1" count="3">
        <s v="Con esfuerzo"/>
        <s v="Sin esfuerzo"/>
        <m u="1"/>
      </sharedItems>
    </cacheField>
    <cacheField name="Indicador Fechas" numFmtId="0">
      <sharedItems count="5">
        <s v="🔵 Sin Fecha"/>
        <s v="🟢 A tiempo"/>
        <s v="🔴 Vencido"/>
        <s v="🟠 Por vencer"/>
        <s v="🟡 Vence hoy" u="1"/>
      </sharedItems>
    </cacheField>
    <cacheField name="Mes_Cronograma" numFmtId="0">
      <sharedItems count="18">
        <s v="Por Definir"/>
        <s v="2027 - 3"/>
        <s v="2026 - 9"/>
        <s v="2027 - 4"/>
        <s v="2027 - 1"/>
        <s v="2027 - 5"/>
        <s v="2026 - 12"/>
        <s v="2027 - 8"/>
        <s v="2026 - 11"/>
        <s v="2027 - 2"/>
        <s v="2027 - 11"/>
        <s v="2027 - 7"/>
        <s v="2028 - 5"/>
        <s v="2027 - 12"/>
        <s v="2027 - 6"/>
        <s v="2026 - 10"/>
        <s v="2028 - 2"/>
        <s v="2027 - 10"/>
      </sharedItems>
    </cacheField>
    <cacheField name="Backlog ID" numFmtId="0">
      <sharedItems containsMixedTypes="1" containsNumber="1" containsInteger="1" minValue="3135" maxValue="3370"/>
    </cacheField>
  </cacheFields>
  <extLst>
    <ext xmlns:x14="http://schemas.microsoft.com/office/spreadsheetml/2009/9/main" uri="{725AE2AE-9491-48be-B2B4-4EB974FC3084}">
      <x14:pivotCacheDefinition pivotCacheId="320394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
  <r>
    <s v="Vulnerabilidad en la plataforma Pagalo.pe reportada por el equipo de Seguridad Informatica en la descarga de comprobantes de pago"/>
    <n v="1"/>
    <n v="4"/>
    <s v="1 mes"/>
    <x v="0"/>
    <x v="0"/>
    <s v="Canales Alternos"/>
    <s v="Canales Virtuales"/>
    <s v="MEMORANDO N° 00000120 - 2026-BN/3252"/>
    <x v="0"/>
    <x v="0"/>
    <x v="0"/>
    <s v="Sistemas Bancarios"/>
    <s v="Eduardo Cárdenas"/>
    <s v="Omar Sarmiento"/>
    <m/>
    <m/>
    <s v=""/>
    <s v=""/>
    <s v=""/>
    <s v=""/>
    <s v=""/>
    <s v=""/>
    <x v="0"/>
    <x v="0"/>
    <x v="0"/>
    <x v="0"/>
    <s v="No está"/>
  </r>
  <r>
    <s v="Visa Mandatorio - Autorizaciones parciales para las transacciones AFT"/>
    <n v="1"/>
    <n v="2"/>
    <s v="4 meses"/>
    <x v="1"/>
    <x v="0"/>
    <s v="Canales Alternos"/>
    <s v="Canales Virtuales"/>
    <s v="MEMORANDO N° 00000091 -2026-BN/3252"/>
    <x v="0"/>
    <x v="1"/>
    <x v="1"/>
    <s v="Sistemas Bancarios"/>
    <s v="Vladimir Cajavilca"/>
    <s v="Omar Sarmiento"/>
    <m/>
    <d v="2026-07-01T00:00:00"/>
    <d v="2026-12-11T00:00:00"/>
    <d v="2026-12-18T00:00:00"/>
    <d v="2027-03-02T00:00:00"/>
    <d v="2027-03-09T00:00:00"/>
    <d v="2027-03-23T00:00:00"/>
    <n v="265"/>
    <x v="1"/>
    <x v="0"/>
    <x v="1"/>
    <x v="1"/>
    <n v="3327"/>
  </r>
  <r>
    <s v="VCX el cual reemplaza al edit package - Mandatorio Visa"/>
    <n v="1"/>
    <n v="6"/>
    <s v="3 meses"/>
    <x v="2"/>
    <x v="0"/>
    <s v="Canales Alternos"/>
    <s v="Canales Virtuales"/>
    <s v="MEMORANDO N° 00000091 -2026-BN/3252"/>
    <x v="0"/>
    <x v="1"/>
    <x v="1"/>
    <s v="Sistemas Bancarios"/>
    <s v="Vladimir Cajavilca"/>
    <s v="Omar Sarmiento"/>
    <m/>
    <d v="2026-04-01T00:00:00"/>
    <d v="2026-07-08T00:00:00"/>
    <d v="2026-07-15T00:00:00"/>
    <d v="2026-09-15T00:00:00"/>
    <d v="2026-09-22T00:00:00"/>
    <d v="2026-09-29T00:00:00"/>
    <n v="181"/>
    <x v="1"/>
    <x v="0"/>
    <x v="2"/>
    <x v="2"/>
    <s v="No está"/>
  </r>
  <r>
    <s v="Transferencias Inmediatas Masivas vía CCE"/>
    <n v="1"/>
    <n v="14"/>
    <s v="4 meses"/>
    <x v="1"/>
    <x v="1"/>
    <s v="SubGerencia de Captaciones y Pagaduria"/>
    <s v="Sistema de Pagos"/>
    <s v="MEMORANDO N° 00000166 - 2025-BN/3116"/>
    <x v="0"/>
    <x v="2"/>
    <x v="1"/>
    <s v="Sistemas Bancarios"/>
    <s v="Waldo Basurto"/>
    <s v="Junior Quicaño"/>
    <s v="Anexo 2 indica que es un requerimiento evolutivo."/>
    <d v="2026-08-17T00:00:00"/>
    <d v="2027-01-25T00:00:00"/>
    <d v="2027-02-01T00:00:00"/>
    <d v="2027-04-14T00:00:00"/>
    <d v="2027-04-21T00:00:00"/>
    <d v="2027-05-05T00:00:00"/>
    <n v="261"/>
    <x v="1"/>
    <x v="0"/>
    <x v="1"/>
    <x v="3"/>
    <n v="3227"/>
  </r>
  <r>
    <s v="Transferencias a contacto hacia Cuentas BN con consulta en Directorio Interno BN (SIX/STI)"/>
    <n v="1"/>
    <n v="37"/>
    <s v="No definido"/>
    <x v="3"/>
    <x v="1"/>
    <s v="SubGerencia de Captaciones y Pagaduria"/>
    <s v="Sistema de Pagos"/>
    <s v="MEMORANDO N° 00000022 - 2026-BN/3116"/>
    <x v="0"/>
    <x v="0"/>
    <x v="2"/>
    <s v="Soluciones Digitales"/>
    <s v="Mario Carbajo"/>
    <s v="Junior Quicaño"/>
    <s v="El tiempo estimado de implementación debe ser evaluado por el Proveedor Novatronic, coordinar con el área usuaria. Una vez nos confirmen la planificación de atención, estimaremos los plazos de atencion BN."/>
    <m/>
    <s v=""/>
    <s v=""/>
    <s v=""/>
    <s v=""/>
    <s v=""/>
    <s v=""/>
    <x v="0"/>
    <x v="1"/>
    <x v="0"/>
    <x v="0"/>
    <s v="No está"/>
  </r>
  <r>
    <s v="Tasas preferenciales para Tarjeta de Crédito"/>
    <n v="1"/>
    <n v="14"/>
    <s v="3 meses"/>
    <x v="2"/>
    <x v="2"/>
    <s v="Banca Personal"/>
    <s v="Tarjeta de Crédito"/>
    <s v="No"/>
    <x v="0"/>
    <x v="3"/>
    <x v="1"/>
    <s v="Sistemas Bancarios"/>
    <s v="Waldo Basurto / Fiorella Galvan"/>
    <s v="Milagros Huamani"/>
    <m/>
    <d v="2026-08-03T00:00:00"/>
    <d v="2026-11-05T00:00:00"/>
    <d v="2026-11-12T00:00:00"/>
    <d v="2027-01-13T00:00:00"/>
    <d v="2027-01-20T00:00:00"/>
    <d v="2027-01-27T00:00:00"/>
    <n v="177"/>
    <x v="1"/>
    <x v="0"/>
    <x v="1"/>
    <x v="4"/>
    <s v="No está"/>
  </r>
  <r>
    <s v="Solución integral a los casos de duplicidad de apertura de cuentas de Ahorro y casos de clientes sin datos y cuentas cruzadas"/>
    <n v="1"/>
    <n v="19"/>
    <s v="3 meses "/>
    <x v="2"/>
    <x v="1"/>
    <s v="SubGerencia de Captaciones y Pagaduria"/>
    <s v="Apertura de Cuentas"/>
    <s v="MEMORANDO N° 00000364 - 2026-BN/3111 (Decía 2025)"/>
    <x v="0"/>
    <x v="2"/>
    <x v="1"/>
    <s v="Sistemas Bancarios"/>
    <s v="Jhonny Rooca / Norma Fukunaga"/>
    <s v="Junior Quicaño"/>
    <s v="Recomendación: Falta sello."/>
    <d v="2026-07-20T00:00:00"/>
    <d v="2026-10-27T00:00:00"/>
    <d v="2026-11-03T00:00:00"/>
    <d v="2027-01-04T00:00:00"/>
    <d v="2027-01-11T00:00:00"/>
    <d v="2027-01-18T00:00:00"/>
    <n v="182"/>
    <x v="1"/>
    <x v="0"/>
    <x v="1"/>
    <x v="4"/>
    <s v="No está"/>
  </r>
  <r>
    <s v="Solicitud de Notificaciones"/>
    <n v="1"/>
    <n v="1"/>
    <s v="4 meses"/>
    <x v="1"/>
    <x v="0"/>
    <s v="Canales Alternos"/>
    <s v="Canales Virtuales"/>
    <s v="MEMORANDO N° 00000518 - 2025-BN/3252"/>
    <x v="0"/>
    <x v="0"/>
    <x v="1"/>
    <s v="Soluciones Digitales"/>
    <s v="Mario Carbajo"/>
    <s v="Omar Sarmiento"/>
    <m/>
    <d v="2026-07-01T00:00:00"/>
    <d v="2026-12-11T00:00:00"/>
    <d v="2026-12-18T00:00:00"/>
    <d v="2027-03-02T00:00:00"/>
    <d v="2027-03-09T00:00:00"/>
    <d v="2027-03-23T00:00:00"/>
    <n v="265"/>
    <x v="1"/>
    <x v="0"/>
    <x v="1"/>
    <x v="1"/>
    <n v="3141"/>
  </r>
  <r>
    <s v="Solicita implementar cobro de comisión Adquirente Internacional VISA por uso en canal ATM del BN (Consultas y Retiros)"/>
    <n v="1"/>
    <n v="9"/>
    <s v="4 meses"/>
    <x v="1"/>
    <x v="0"/>
    <s v="Canales Alternos"/>
    <s v="Canales Presenciales"/>
    <s v="MEMORANDO N° 00000044 - 2026-BN/3251"/>
    <x v="0"/>
    <x v="4"/>
    <x v="1"/>
    <s v="Sistemas Bancarios"/>
    <s v="Vladimir Cajavilca"/>
    <s v="Omar Sarmiento"/>
    <s v=" "/>
    <d v="2026-09-01T00:00:00"/>
    <d v="2027-02-09T00:00:00"/>
    <d v="2027-02-16T00:00:00"/>
    <d v="2027-04-29T00:00:00"/>
    <d v="2027-05-06T00:00:00"/>
    <d v="2027-05-20T00:00:00"/>
    <n v="261"/>
    <x v="1"/>
    <x v="0"/>
    <x v="1"/>
    <x v="5"/>
    <n v="3200"/>
  </r>
  <r>
    <s v="Sistema Antifraude en el servicio de Transferencias Interbancarias Inmediatas e Interoperabilidad"/>
    <n v="1"/>
    <n v="20"/>
    <s v="3 meses"/>
    <x v="2"/>
    <x v="1"/>
    <s v="SubGerencia de Captaciones y Pagaduria"/>
    <s v="Sistema de Pagos"/>
    <s v="MEMORANDO N° 00000020 - 2026-BN/3116"/>
    <x v="0"/>
    <x v="2"/>
    <x v="1"/>
    <s v="Soluciones Digitales"/>
    <s v="Monica Campana"/>
    <s v="Junior Quicaño"/>
    <s v="El área usuaria priorizó su atención antes de iniciar el requerimiento de Masivas._x000a_Anexo 2 dice evolutivo."/>
    <d v="2026-06-15T00:00:00"/>
    <d v="2026-09-22T00:00:00"/>
    <d v="2026-09-29T00:00:00"/>
    <d v="2026-11-25T00:00:00"/>
    <d v="2026-12-02T00:00:00"/>
    <d v="2026-12-11T00:00:00"/>
    <n v="179"/>
    <x v="1"/>
    <x v="0"/>
    <x v="3"/>
    <x v="6"/>
    <s v="No está"/>
  </r>
  <r>
    <s v="SIRE Registro de Libro Diario"/>
    <n v="1"/>
    <n v="3"/>
    <s v="1 mes"/>
    <x v="0"/>
    <x v="3"/>
    <s v="Contabilidad"/>
    <s v="Centralización y Procesamiento Contable"/>
    <s v="MEMORANDO N° 00000006 - 2026-BN6215"/>
    <x v="0"/>
    <x v="3"/>
    <x v="1"/>
    <s v="Sistemas Administrativos"/>
    <s v="Emerson Quecara"/>
    <s v="Juan Carlos Zavaleta"/>
    <s v="Equipo técnico en elaboración de crnograma"/>
    <d v="2026-06-10T00:00:00"/>
    <d v="2026-07-24T00:00:00"/>
    <d v="2026-08-04T00:00:00"/>
    <d v="2026-09-16T00:00:00"/>
    <d v="2026-09-23T00:00:00"/>
    <d v="2026-09-30T00:00:00"/>
    <n v="112"/>
    <x v="1"/>
    <x v="0"/>
    <x v="2"/>
    <x v="2"/>
    <n v="3265"/>
  </r>
  <r>
    <s v="Separación funcional operativa contable de las remesas ATMs BN e islas Lima entre las Secciones Caja y Canales Presenciales."/>
    <n v="1"/>
    <n v="43"/>
    <s v="7 meses "/>
    <x v="4"/>
    <x v="1"/>
    <s v="Subgerencia Caja y Valores "/>
    <s v="Caja y Valores en Custodia"/>
    <s v="MEMORANDO N° 00000034 - 2026-BN/3131"/>
    <x v="0"/>
    <x v="0"/>
    <x v="1"/>
    <s v="Sistemas Administrativos"/>
    <s v="Ricardo Cuba"/>
    <s v="Junior Quicaño"/>
    <m/>
    <d v="2026-10-05T00:00:00"/>
    <d v="2027-05-18T00:00:00"/>
    <d v="2027-05-25T00:00:00"/>
    <d v="2027-08-11T00:00:00"/>
    <d v="2027-08-18T00:00:00"/>
    <d v="2027-08-25T00:00:00"/>
    <n v="324"/>
    <x v="1"/>
    <x v="0"/>
    <x v="1"/>
    <x v="7"/>
    <n v="3247"/>
  </r>
  <r>
    <s v="Rporte mensual  de saldos de prestamos Multired  conforme a los lineamientos  del 16c Ratio de Financiación Neta estable"/>
    <n v="1"/>
    <n v="6"/>
    <s v="2 meses"/>
    <x v="2"/>
    <x v="4"/>
    <s v="Riesgos Crediticios y Financieros"/>
    <s v="Riesgos Financieros"/>
    <s v="MEMORANDO N° 00000024 - 2026-BN/2193"/>
    <x v="0"/>
    <x v="3"/>
    <x v="1"/>
    <s v="Sistemas Bancarios"/>
    <s v="Fiorella Galván"/>
    <s v="María Barboza"/>
    <m/>
    <d v="2026-08-03T00:00:00"/>
    <d v="2026-11-05T00:00:00"/>
    <d v="2026-11-12T00:00:00"/>
    <d v="2027-01-13T00:00:00"/>
    <d v="2027-01-20T00:00:00"/>
    <d v="2027-01-27T00:00:00"/>
    <n v="177"/>
    <x v="1"/>
    <x v="0"/>
    <x v="1"/>
    <x v="4"/>
    <s v="No está"/>
  </r>
  <r>
    <s v="Reverso automático en el canal Agente BN"/>
    <n v="1"/>
    <n v="1"/>
    <s v="2 meses"/>
    <x v="2"/>
    <x v="0"/>
    <s v="Canales Alternos"/>
    <s v="Canales Presenciales"/>
    <s v="MEMORANDO N° 00000044 -2026-BN/3251"/>
    <x v="0"/>
    <x v="4"/>
    <x v="1"/>
    <s v="Sistemas Bancarios"/>
    <s v="Vladimir Cajavilca"/>
    <s v="Omar Sarmiento"/>
    <s v=" Backlog ID. 3194"/>
    <d v="2026-08-01T00:00:00"/>
    <d v="2026-11-04T00:00:00"/>
    <d v="2026-11-11T00:00:00"/>
    <d v="2027-01-12T00:00:00"/>
    <d v="2027-01-19T00:00:00"/>
    <d v="2027-01-26T00:00:00"/>
    <n v="178"/>
    <x v="1"/>
    <x v="0"/>
    <x v="1"/>
    <x v="4"/>
    <n v="3194"/>
  </r>
  <r>
    <s v="Requerimiento de incorporación del control dual biométrico en las transacciones del servicio de giros 7510, 7600, 7700 y 7800. Se requiere implementación para atender recomendación de OAI."/>
    <n v="1"/>
    <n v="9"/>
    <s v="3 meses"/>
    <x v="2"/>
    <x v="1"/>
    <s v="Servicios Bancarios y Recaudación"/>
    <s v="Recaudación y Corresponsalía"/>
    <s v="MEMORANDO N° 00000029 - 2026-BN/3243"/>
    <x v="0"/>
    <x v="2"/>
    <x v="1"/>
    <s v="Sistemas Bancarios"/>
    <s v="Rossana Rojas"/>
    <s v="Junior Quicaño"/>
    <s v="_x000a_Recomendación: Sellado."/>
    <d v="2026-06-01T00:00:00"/>
    <d v="2026-09-08T00:00:00"/>
    <d v="2026-09-15T00:00:00"/>
    <d v="2026-11-11T00:00:00"/>
    <d v="2026-11-18T00:00:00"/>
    <d v="2026-11-25T00:00:00"/>
    <n v="177"/>
    <x v="1"/>
    <x v="0"/>
    <x v="2"/>
    <x v="8"/>
    <n v="3241"/>
  </r>
  <r>
    <s v="Reportes por operaciones de reposicion de tarjetas en la red de agencias"/>
    <n v="1"/>
    <n v="17"/>
    <s v="2 meses"/>
    <x v="2"/>
    <x v="0"/>
    <s v="Canales Alternos"/>
    <s v="Canales Virtuales"/>
    <s v="MEMORANDO N° 00000091 -2026-BN/3252"/>
    <x v="0"/>
    <x v="0"/>
    <x v="1"/>
    <s v="Sistemas Bancarios"/>
    <s v="Waldo Basurto"/>
    <s v="Omar Sarmiento"/>
    <s v=" "/>
    <d v="2026-08-04T00:00:00"/>
    <d v="2026-11-06T00:00:00"/>
    <d v="2026-11-13T00:00:00"/>
    <d v="2027-01-14T00:00:00"/>
    <d v="2027-01-21T00:00:00"/>
    <d v="2027-01-28T00:00:00"/>
    <n v="177"/>
    <x v="1"/>
    <x v="0"/>
    <x v="1"/>
    <x v="4"/>
    <n v="3349"/>
  </r>
  <r>
    <s v="Reporteria de transacciones - 0208, 0201, 0210"/>
    <n v="1"/>
    <n v="2"/>
    <s v="3 meses"/>
    <x v="2"/>
    <x v="5"/>
    <s v="Red de Agencias"/>
    <s v="Red de Agencias"/>
    <s v="MEMORANDO N° 00000322 - 2026-BN/9700"/>
    <x v="0"/>
    <x v="0"/>
    <x v="1"/>
    <s v="Sistemas Bancarios"/>
    <s v="Rossana Rojas"/>
    <s v="María Barboza"/>
    <m/>
    <d v="2026-09-01T00:00:00"/>
    <d v="2026-12-03T00:00:00"/>
    <d v="2026-12-14T00:00:00"/>
    <d v="2027-02-10T00:00:00"/>
    <d v="2027-02-17T00:00:00"/>
    <d v="2027-02-24T00:00:00"/>
    <n v="176"/>
    <x v="1"/>
    <x v="0"/>
    <x v="1"/>
    <x v="9"/>
    <s v="No está"/>
  </r>
  <r>
    <s v="Reporte NRT Control del Fraude"/>
    <n v="1"/>
    <s v="Por definir"/>
    <s v="3 meses"/>
    <x v="2"/>
    <x v="0"/>
    <s v="Canales Alternos"/>
    <s v="Canales Virtuales"/>
    <s v="MEMORANDO N° 00000002 - 2026-BN/3252"/>
    <x v="0"/>
    <x v="2"/>
    <x v="1"/>
    <s v="Sistemas Bancarios"/>
    <s v="Vladimir Cajavilca"/>
    <s v="Omar Sarmiento"/>
    <s v="No tiene definido Orden de Atención"/>
    <d v="2026-07-01T00:00:00"/>
    <d v="2026-10-07T00:00:00"/>
    <d v="2026-10-15T00:00:00"/>
    <d v="2026-12-14T00:00:00"/>
    <d v="2026-12-21T00:00:00"/>
    <d v="2026-12-29T00:00:00"/>
    <n v="181"/>
    <x v="1"/>
    <x v="0"/>
    <x v="1"/>
    <x v="6"/>
    <s v="3187"/>
  </r>
  <r>
    <s v="Reporte detallado de las notificacion de la comunciaciones por transacciones en ATMs "/>
    <n v="1"/>
    <n v="11"/>
    <s v="3 meses"/>
    <x v="2"/>
    <x v="0"/>
    <s v="Canales Alternos"/>
    <s v="Canales Presenciales"/>
    <s v="MEMORANDO N° 00000044 -2026-BN/3251"/>
    <x v="0"/>
    <x v="0"/>
    <x v="1"/>
    <s v="Sistemas Bancarios"/>
    <s v="Eduardo Cárdenas"/>
    <s v="Omar Sarmiento"/>
    <m/>
    <d v="2026-11-10T00:00:00"/>
    <d v="2027-02-16T00:00:00"/>
    <d v="2027-02-23T00:00:00"/>
    <d v="2027-04-22T00:00:00"/>
    <d v="2027-04-29T00:00:00"/>
    <d v="2027-05-06T00:00:00"/>
    <n v="177"/>
    <x v="1"/>
    <x v="0"/>
    <x v="1"/>
    <x v="3"/>
    <n v="3196"/>
  </r>
  <r>
    <s v="Reporte detallado de las notificacion de la comunciaciones por transacciones en Agente BN "/>
    <n v="1"/>
    <n v="11"/>
    <s v="3 meses"/>
    <x v="2"/>
    <x v="0"/>
    <s v="Canales Alternos"/>
    <s v="Canales Presenciales"/>
    <s v="MEMORANDO N° 00000044 -2026-BN/3251"/>
    <x v="0"/>
    <x v="3"/>
    <x v="1"/>
    <s v="Sistemas Bancarios"/>
    <s v="Eduardo Cárdenas"/>
    <s v="Omar Sarmiento"/>
    <m/>
    <d v="2026-11-03T00:00:00"/>
    <d v="2027-02-09T00:00:00"/>
    <d v="2027-02-16T00:00:00"/>
    <d v="2027-04-15T00:00:00"/>
    <d v="2027-04-22T00:00:00"/>
    <d v="2027-04-29T00:00:00"/>
    <n v="177"/>
    <x v="1"/>
    <x v="0"/>
    <x v="1"/>
    <x v="3"/>
    <n v="3197"/>
  </r>
  <r>
    <s v="Reporte de Modificaciones de datos de clientes - AUDITORIA EXTERNA "/>
    <n v="1"/>
    <n v="27"/>
    <s v="2 meses "/>
    <x v="2"/>
    <x v="1"/>
    <s v="SubGerencia de Captaciones y Pagaduria"/>
    <s v="Apertura de Cuentas"/>
    <s v="MEMORANDO N° 00000142 - 2026-BN/3111"/>
    <x v="0"/>
    <x v="2"/>
    <x v="1"/>
    <s v="Sistemas Bancarios"/>
    <s v="Johnny Rocca"/>
    <s v="Junior Quicaño"/>
    <s v="_x000a_El Anexo 2 indica Evolutivo."/>
    <d v="2026-08-03T00:00:00"/>
    <d v="2026-11-05T00:00:00"/>
    <d v="2026-11-12T00:00:00"/>
    <d v="2027-01-13T00:00:00"/>
    <d v="2027-01-20T00:00:00"/>
    <d v="2027-01-27T00:00:00"/>
    <n v="177"/>
    <x v="1"/>
    <x v="0"/>
    <x v="1"/>
    <x v="4"/>
    <s v="No está"/>
  </r>
  <r>
    <s v="Reporte de la funcionalidad del Canal ATM"/>
    <n v="1"/>
    <n v="5"/>
    <s v="3 meses"/>
    <x v="2"/>
    <x v="0"/>
    <s v="Canales Alternos"/>
    <s v="Canales Presenciales"/>
    <s v="MEMORANDO N° 00000044 -2026-BN/3251"/>
    <x v="0"/>
    <x v="3"/>
    <x v="1"/>
    <s v="Sistemas Bancarios"/>
    <s v="Herbert Rojas"/>
    <s v="Omar Sarmiento"/>
    <m/>
    <d v="2026-08-18T00:00:00"/>
    <d v="2026-11-19T00:00:00"/>
    <d v="2026-11-26T00:00:00"/>
    <d v="2027-01-27T00:00:00"/>
    <d v="2027-02-03T00:00:00"/>
    <d v="2027-02-10T00:00:00"/>
    <n v="176"/>
    <x v="1"/>
    <x v="0"/>
    <x v="1"/>
    <x v="9"/>
    <s v="No está"/>
  </r>
  <r>
    <s v="Reporte de la funcionalidad del Canal Agente BN"/>
    <n v="1"/>
    <n v="5"/>
    <s v="3 meses"/>
    <x v="2"/>
    <x v="0"/>
    <s v="Canales Alternos"/>
    <s v="Canales Presenciales"/>
    <s v="MEMORANDO N° 00000044 -2026-BN/3251"/>
    <x v="0"/>
    <x v="3"/>
    <x v="1"/>
    <s v="Sistemas Bancarios"/>
    <s v="Vladimir Cajavilca"/>
    <s v="Omar Sarmiento"/>
    <s v=" "/>
    <d v="2026-08-18T00:00:00"/>
    <d v="2026-11-19T00:00:00"/>
    <d v="2026-11-26T00:00:00"/>
    <d v="2027-01-27T00:00:00"/>
    <d v="2027-02-03T00:00:00"/>
    <d v="2027-02-10T00:00:00"/>
    <n v="176"/>
    <x v="1"/>
    <x v="0"/>
    <x v="1"/>
    <x v="9"/>
    <n v="3333"/>
  </r>
  <r>
    <s v="Reporte de Clientes con clave de internet"/>
    <n v="1"/>
    <n v="1"/>
    <s v="1 mes"/>
    <x v="0"/>
    <x v="0"/>
    <s v="Canales Alternos"/>
    <s v="Canales Virtuales"/>
    <s v="MEMORANDO N° 00000130 - 2026-BN-3252"/>
    <x v="0"/>
    <x v="0"/>
    <x v="1"/>
    <s v="Soluciones Digitales"/>
    <s v="Mario Carbajo"/>
    <s v="Omar Sarmiento"/>
    <s v="Backlog ID. 3355"/>
    <d v="2026-06-08T00:00:00"/>
    <d v="2026-07-21T00:00:00"/>
    <d v="2026-07-31T00:00:00"/>
    <d v="2026-09-14T00:00:00"/>
    <d v="2026-09-21T00:00:00"/>
    <d v="2026-09-28T00:00:00"/>
    <n v="112"/>
    <x v="1"/>
    <x v="0"/>
    <x v="2"/>
    <x v="2"/>
    <n v="3355"/>
  </r>
  <r>
    <s v="Reporte de accesos al sistema de Emulación - DA00"/>
    <n v="1"/>
    <s v="Por definir"/>
    <s v="3 meses"/>
    <x v="2"/>
    <x v="0"/>
    <s v="Canales Alternos"/>
    <s v="Mesa de Ayuda"/>
    <s v="MEMORANDO N° 00000045 - 2026-BN/3151"/>
    <x v="0"/>
    <x v="2"/>
    <x v="1"/>
    <s v="Sistemas Bancarios"/>
    <s v="Norma Fukunaga"/>
    <s v="Omar Sarmiento"/>
    <m/>
    <d v="2026-08-03T00:00:00"/>
    <d v="2026-11-05T00:00:00"/>
    <d v="2026-11-12T00:00:00"/>
    <d v="2027-01-13T00:00:00"/>
    <d v="2027-01-20T00:00:00"/>
    <d v="2027-01-27T00:00:00"/>
    <n v="177"/>
    <x v="1"/>
    <x v="0"/>
    <x v="1"/>
    <x v="4"/>
    <s v="Revisar 3144"/>
  </r>
  <r>
    <s v="Reporte de Accesos al Sistema BDUC"/>
    <n v="1"/>
    <n v="3"/>
    <m/>
    <x v="3"/>
    <x v="0"/>
    <s v="Canales Alternos"/>
    <s v="Mesa de Ayuda"/>
    <s v="MEMORANDO N° 00000045 - 2026-BN/3151"/>
    <x v="0"/>
    <x v="2"/>
    <x v="0"/>
    <s v="Sistemas Bancarios"/>
    <s v="Jhonny Rooca"/>
    <s v="Omar Sarmiento"/>
    <m/>
    <m/>
    <s v=""/>
    <s v=""/>
    <s v=""/>
    <s v=""/>
    <s v=""/>
    <s v=""/>
    <x v="0"/>
    <x v="0"/>
    <x v="0"/>
    <x v="0"/>
    <s v="No está"/>
  </r>
  <r>
    <s v="Renovación Préstamos Canales Banca Movil, Banca Internet"/>
    <n v="1"/>
    <n v="4"/>
    <s v="3 meses"/>
    <x v="2"/>
    <x v="2"/>
    <s v="Banca Personal"/>
    <s v="Préstamo Multired"/>
    <s v="MEMORANDO N° 00000084 - 2026-BN/3347"/>
    <x v="0"/>
    <x v="2"/>
    <x v="2"/>
    <s v="Soluciones Digitales"/>
    <s v="Marilú Cordova"/>
    <s v="Milagros Huamani"/>
    <s v="Gerencia TI indicó que no se debe de desarrollar ninguna funcionabilidad nueva en las aplicaciones actules de Banca Movil y Homebankig."/>
    <m/>
    <s v=""/>
    <s v=""/>
    <s v=""/>
    <s v=""/>
    <s v=""/>
    <s v=""/>
    <x v="0"/>
    <x v="0"/>
    <x v="0"/>
    <x v="0"/>
    <s v="No está"/>
  </r>
  <r>
    <s v="Registro de Entidad 0813 - CMAC Tacna en el sistema de transferencias Interbancarias e Interoperabilidad CCE "/>
    <n v="1"/>
    <n v="22"/>
    <s v="1 mes "/>
    <x v="0"/>
    <x v="1"/>
    <s v="SubGerencia de Captaciones y Pagaduria"/>
    <s v="Sistema de Pagos"/>
    <s v="MEMORANDO N° 00000140 - 2025-BN/3116"/>
    <x v="0"/>
    <x v="2"/>
    <x v="1"/>
    <s v="Soluciones Digitales"/>
    <s v="Monica Campana"/>
    <s v="Junior Quicaño"/>
    <s v="Anexo 2 dice evolutivo."/>
    <d v="2026-06-01T00:00:00"/>
    <d v="2026-07-14T00:00:00"/>
    <d v="2026-07-21T00:00:00"/>
    <d v="2026-09-07T00:00:00"/>
    <d v="2026-09-14T00:00:00"/>
    <d v="2026-09-21T00:00:00"/>
    <n v="112"/>
    <x v="1"/>
    <x v="0"/>
    <x v="2"/>
    <x v="2"/>
    <s v="No está"/>
  </r>
  <r>
    <s v="Reclasificación codigo 82"/>
    <n v="1"/>
    <n v="3"/>
    <s v="3 meses"/>
    <x v="2"/>
    <x v="0"/>
    <s v="Canales Alternos"/>
    <s v="Canales Presenciales"/>
    <s v="MEMORANDO N° 00000044 - 2026-BN/3251"/>
    <x v="0"/>
    <x v="4"/>
    <x v="1"/>
    <s v="Sistemas Bancarios"/>
    <s v="Vladimir Cajavilca"/>
    <s v="Omar Sarmiento"/>
    <s v=" "/>
    <d v="2026-09-01T00:00:00"/>
    <d v="2026-12-03T00:00:00"/>
    <d v="2026-12-14T00:00:00"/>
    <d v="2027-02-10T00:00:00"/>
    <d v="2027-02-17T00:00:00"/>
    <d v="2027-02-24T00:00:00"/>
    <n v="176"/>
    <x v="1"/>
    <x v="0"/>
    <x v="1"/>
    <x v="9"/>
    <s v="No está"/>
  </r>
  <r>
    <s v="Realizar la inscripción de nuevos códigos y conceptos de pagos de la Universidad Nacional de Piura, así como cambiar las denominaciones señaladas."/>
    <n v="1"/>
    <n v="45"/>
    <s v="1 mes"/>
    <x v="0"/>
    <x v="1"/>
    <s v="Servicios Bancarios y Recaudación"/>
    <s v="Recaudación y Corresponsalía"/>
    <s v="MEMORANDO N° 00000018 - 2026-BN/3243"/>
    <x v="0"/>
    <x v="0"/>
    <x v="1"/>
    <s v="Sistemas Bancarios"/>
    <s v="Rossana Rojas"/>
    <s v="Junior Quicaño"/>
    <s v="Rutinario , solcitar aprobación tiene trámite 2025-T0901"/>
    <d v="2026-06-01T00:00:00"/>
    <d v="2026-07-14T00:00:00"/>
    <d v="2026-07-21T00:00:00"/>
    <d v="2026-09-07T00:00:00"/>
    <d v="2026-09-14T00:00:00"/>
    <d v="2026-09-21T00:00:00"/>
    <n v="112"/>
    <x v="1"/>
    <x v="0"/>
    <x v="2"/>
    <x v="2"/>
    <s v="No está"/>
  </r>
  <r>
    <s v="Procesamiento de Credit Voucher and Merchandise Return"/>
    <n v="1"/>
    <n v="8"/>
    <s v="3 meses"/>
    <x v="2"/>
    <x v="0"/>
    <s v="Canales Alternos"/>
    <s v="Canales Virtuales"/>
    <s v="MEMORANDO N° 00000091 - 2026-BN/3252"/>
    <x v="0"/>
    <x v="1"/>
    <x v="1"/>
    <s v="Sistemas Bancarios"/>
    <s v="Vladimir Cajavilca"/>
    <s v="Omar Sarmiento"/>
    <s v="La estimacion es realizada mediante el correo de maribel del viernes 15/05/2026 17:19_x000a_22/05/2026 En reunión con el área usuaria se informó que el anexo referenciado debe ser actualizado y dividido_x000a__x000a_Tenía fecha de inicio 29/09/2026 pero no tiene anexo 2"/>
    <d v="2026-09-29T00:00:00"/>
    <d v="2027-01-06T00:00:00"/>
    <d v="2027-01-13T00:00:00"/>
    <d v="2027-03-10T00:00:00"/>
    <d v="2027-03-17T00:00:00"/>
    <d v="2027-03-24T00:00:00"/>
    <n v="176"/>
    <x v="1"/>
    <x v="0"/>
    <x v="1"/>
    <x v="1"/>
    <n v="3340"/>
  </r>
  <r>
    <s v="Perdida de llaves Red de ATMs (Cód. 55)"/>
    <n v="1"/>
    <n v="3"/>
    <s v="3 meses"/>
    <x v="2"/>
    <x v="0"/>
    <s v="Canales Alternos"/>
    <s v="Canales Presenciales"/>
    <s v="MEMORANDO N° 00000044 - 2026-BN/3251"/>
    <x v="0"/>
    <x v="4"/>
    <x v="1"/>
    <s v="Sistemas Bancarios"/>
    <s v="Vladimir Cajavilca"/>
    <s v="Omar Sarmiento"/>
    <s v=" "/>
    <d v="2026-07-01T00:00:00"/>
    <d v="2026-10-07T00:00:00"/>
    <d v="2026-10-15T00:00:00"/>
    <d v="2026-12-14T00:00:00"/>
    <d v="2026-12-21T00:00:00"/>
    <d v="2026-12-29T00:00:00"/>
    <n v="181"/>
    <x v="1"/>
    <x v="0"/>
    <x v="1"/>
    <x v="6"/>
    <s v="No está"/>
  </r>
  <r>
    <s v="Pago electronico para embargos SUNAT, SUNAT-MEF-BN iniciaron acuerdos a fin de implementar  el pago electónico para embargos de retenciones notificados por los ejecutores coactivos de la SUNAT a las unidades ejecutoras del sector público"/>
    <n v="1"/>
    <n v="30"/>
    <s v="3 meses"/>
    <x v="2"/>
    <x v="1"/>
    <s v="Servicios Bancarios y Recaudación"/>
    <s v="Recaudación y Corresponsalía"/>
    <s v="MEMORANDO N° 00000255 - 2025-BN/3243"/>
    <x v="0"/>
    <x v="0"/>
    <x v="1"/>
    <s v="Sistemas Bancarios"/>
    <s v="Fiorella Galván"/>
    <s v="Junior Quicaño"/>
    <m/>
    <d v="2026-07-13T00:00:00"/>
    <d v="2026-10-20T00:00:00"/>
    <d v="2026-10-27T00:00:00"/>
    <d v="2026-12-24T00:00:00"/>
    <d v="2027-01-04T00:00:00"/>
    <d v="2027-01-11T00:00:00"/>
    <n v="182"/>
    <x v="1"/>
    <x v="0"/>
    <x v="1"/>
    <x v="4"/>
    <n v="3135"/>
  </r>
  <r>
    <s v="Nueva transacción para el control de Ingresos y devoluciones de Garantías"/>
    <n v="1"/>
    <n v="2"/>
    <s v="No definido"/>
    <x v="3"/>
    <x v="1"/>
    <s v="Servicios Bancarios y Recaudación"/>
    <s v="Recaudación y Corresponsalía"/>
    <s v="MEMORANDO N° 00000028 - 2026-BN/3243"/>
    <x v="0"/>
    <x v="2"/>
    <x v="0"/>
    <s v="Sistemas Bancarios"/>
    <s v="Jorge Rueda"/>
    <s v="Junior Quicaño"/>
    <s v="El requerimiento debe ser evaluado por el equipo de Construcción, se coordinará con Eduardo Cardenas para desiganar analista o supervisior responsable de atención."/>
    <m/>
    <s v=""/>
    <s v=""/>
    <s v=""/>
    <s v=""/>
    <s v=""/>
    <s v=""/>
    <x v="0"/>
    <x v="1"/>
    <x v="0"/>
    <x v="0"/>
    <n v="3236"/>
  </r>
  <r>
    <s v="Nueva estructura para la Apertura de cuentas de ahorro Masivas e Individuales"/>
    <n v="1"/>
    <n v="31"/>
    <s v="6 meses"/>
    <x v="4"/>
    <x v="1"/>
    <s v="SubGerencia de Captaciones y Pagaduria"/>
    <s v="Apertura de Cuentas"/>
    <s v="MEMORANDO N° 00000150 - 2026-BN/3111"/>
    <x v="0"/>
    <x v="4"/>
    <x v="1"/>
    <s v="Sistemas Bancarios"/>
    <s v="Johnny Rocca"/>
    <s v="Junior Quicaño"/>
    <m/>
    <d v="2027-01-04T00:00:00"/>
    <d v="2027-08-18T00:00:00"/>
    <d v="2027-08-25T00:00:00"/>
    <d v="2027-11-08T00:00:00"/>
    <d v="2027-11-15T00:00:00"/>
    <d v="2027-11-22T00:00:00"/>
    <n v="322"/>
    <x v="1"/>
    <x v="0"/>
    <x v="1"/>
    <x v="10"/>
    <n v="3230"/>
  </r>
  <r>
    <s v="Notificación de Operaciones de Retiro con tarjeta de Débito, crédito y transacciones que deben generar alertas – Canal Ventanilla"/>
    <n v="1"/>
    <n v="1"/>
    <s v="9  meses"/>
    <x v="5"/>
    <x v="5"/>
    <s v="Red de Agencias"/>
    <s v="Red de Agencias"/>
    <s v="MEMORANDO N° 00000321 - 2026-BN/9700"/>
    <x v="0"/>
    <x v="3"/>
    <x v="1"/>
    <s v="Sistemas Bancarios"/>
    <s v="Rossana Rojas"/>
    <s v="María Barboza"/>
    <s v="Se atenderá con la FBS"/>
    <d v="2026-09-01T00:00:00"/>
    <d v="2027-05-14T00:00:00"/>
    <d v="2027-05-21T00:00:00"/>
    <d v="2027-08-06T00:00:00"/>
    <d v="2027-08-16T00:00:00"/>
    <d v="2027-08-23T00:00:00"/>
    <n v="356"/>
    <x v="1"/>
    <x v="0"/>
    <x v="1"/>
    <x v="7"/>
    <s v="No está"/>
  </r>
  <r>
    <s v="Modificar regla de Negocio respecto al cobro  de ITF EN OPERACIONES DE TRNASFERENCIAS ENTRE CUENTAS DEL MISMO TITULAR(Mismo Banco e Interbancarias)"/>
    <n v="1"/>
    <n v="5"/>
    <s v="4 meses"/>
    <x v="1"/>
    <x v="1"/>
    <s v="SubGerencia de Captaciones y Pagaduria"/>
    <s v="Sistema de Pagos"/>
    <s v="MEMORANDO N° 00000180 - 2025-BN/3116"/>
    <x v="0"/>
    <x v="2"/>
    <x v="1"/>
    <s v="Sistemas Bancarios"/>
    <s v="Adolfo Escobar"/>
    <s v="Junior Quicaño"/>
    <s v="_x000a_Anexo 2 sale correctivo."/>
    <d v="2026-08-03T00:00:00"/>
    <d v="2027-01-12T00:00:00"/>
    <d v="2027-01-19T00:00:00"/>
    <d v="2027-04-01T00:00:00"/>
    <d v="2027-04-08T00:00:00"/>
    <d v="2027-04-22T00:00:00"/>
    <n v="262"/>
    <x v="1"/>
    <x v="0"/>
    <x v="1"/>
    <x v="3"/>
    <n v="3224"/>
  </r>
  <r>
    <s v="Modificar información que se envía a los beneficiarios a través de mensajes SMS por abonos de Transferencias Interbancarias Inmediatas de entrada"/>
    <n v="1"/>
    <n v="7"/>
    <s v="No definido"/>
    <x v="3"/>
    <x v="1"/>
    <s v="SubGerencia de Captaciones y Pagaduria"/>
    <s v="Sistema de Pagos"/>
    <s v="MEMORANDO N° 00000174 - 2025-BN/3116"/>
    <x v="0"/>
    <x v="3"/>
    <x v="2"/>
    <s v="Soluciones Digitales"/>
    <s v="Mario Carbajo"/>
    <s v="Junior Quicaño"/>
    <s v="El tiempo estimado de implementación debe ser evaluado por el Proveedor Novatronic, coordinar con el área usuaria. Una vez nos confirmen la planificación de atención, estimaremos los plazos de atencion BN."/>
    <m/>
    <s v=""/>
    <s v=""/>
    <s v=""/>
    <s v=""/>
    <s v=""/>
    <s v=""/>
    <x v="0"/>
    <x v="1"/>
    <x v="0"/>
    <x v="0"/>
    <n v="3240"/>
  </r>
  <r>
    <s v="Modificación en la metodología de la capacidad de pago en la admisión del Préstamo Multired"/>
    <n v="1"/>
    <n v="10"/>
    <s v="6 meses"/>
    <x v="4"/>
    <x v="2"/>
    <s v="Banca Personal"/>
    <s v="Préstamo Multired"/>
    <s v="No"/>
    <x v="0"/>
    <x v="2"/>
    <x v="1"/>
    <s v="Sistemas Bancarios"/>
    <s v="Fiorella Galvan / Waldo Basurto"/>
    <s v="Milagros Huamani"/>
    <m/>
    <d v="2026-09-01T00:00:00"/>
    <d v="2027-04-14T00:00:00"/>
    <d v="2027-04-21T00:00:00"/>
    <d v="2027-07-01T00:00:00"/>
    <d v="2027-07-09T00:00:00"/>
    <d v="2027-07-16T00:00:00"/>
    <n v="318"/>
    <x v="1"/>
    <x v="0"/>
    <x v="1"/>
    <x v="11"/>
    <s v="No está"/>
  </r>
  <r>
    <s v="Modificación de las secuencias FISA de las Bóvedas de Tránsito BTs Hermes y Prosegur Lima"/>
    <n v="1"/>
    <n v="44"/>
    <s v="No definido"/>
    <x v="3"/>
    <x v="1"/>
    <s v="Subgerencia Caja y Valores "/>
    <s v="Caja y Valores en Custodia"/>
    <s v="MEMORANDO N° 00000035 - 2026-BN/3131"/>
    <x v="0"/>
    <x v="0"/>
    <x v="3"/>
    <s v="Sistemas Administrativos"/>
    <s v="Ricardo Cuba"/>
    <s v="Junior Quicaño"/>
    <s v="Se devolverá el requerimiento, el alcance del anexo 2 debe ser divido y modificado."/>
    <m/>
    <s v=""/>
    <s v=""/>
    <s v=""/>
    <s v=""/>
    <s v=""/>
    <s v=""/>
    <x v="0"/>
    <x v="1"/>
    <x v="0"/>
    <x v="0"/>
    <n v="3248"/>
  </r>
  <r>
    <s v="Modificación de la Transacciones del cobro del proceso de Emisión y Reposición de Tarjeta de Débito"/>
    <n v="1"/>
    <n v="15"/>
    <m/>
    <x v="3"/>
    <x v="0"/>
    <s v="Canales Alternos"/>
    <s v="Canales Virtuales"/>
    <s v="MEMORANDO N° 00000120 - 2026-BN/3252"/>
    <x v="0"/>
    <x v="0"/>
    <x v="0"/>
    <s v="Sistemas Bancarios"/>
    <s v="Waldo Basurto"/>
    <s v="Omar Sarmiento"/>
    <m/>
    <m/>
    <s v=""/>
    <s v=""/>
    <s v=""/>
    <s v=""/>
    <s v=""/>
    <s v=""/>
    <x v="0"/>
    <x v="0"/>
    <x v="0"/>
    <x v="0"/>
    <s v="Revisar 3111"/>
  </r>
  <r>
    <s v="MN: Proyecto migración y actualización CIIU REV. 4 - apertura de cuentas masivas"/>
    <n v="1"/>
    <n v="42"/>
    <s v="2 meses"/>
    <x v="2"/>
    <x v="1"/>
    <s v="SubGerencia de Captaciones y Pagaduria"/>
    <s v="Apertura de Cuentas"/>
    <s v="MEMORANDO N° 00000567 - 2025-BN/3111"/>
    <x v="0"/>
    <x v="0"/>
    <x v="1"/>
    <s v="Sistemas Bancarios"/>
    <s v="Johnny Rocca"/>
    <s v="Junior Quicaño"/>
    <m/>
    <d v="2027-12-06T00:00:00"/>
    <d v="2028-03-09T00:00:00"/>
    <d v="2028-03-16T00:00:00"/>
    <d v="2028-05-11T00:00:00"/>
    <d v="2028-05-18T00:00:00"/>
    <d v="2028-05-25T00:00:00"/>
    <n v="171"/>
    <x v="1"/>
    <x v="0"/>
    <x v="1"/>
    <x v="12"/>
    <n v="3246"/>
  </r>
  <r>
    <s v="Migración y actualización de CIIU actual a la codificación CIIU rev4 en la BDUC y  aplicativos bases Fase II - B"/>
    <n v="1"/>
    <n v="8"/>
    <s v="3 meses"/>
    <x v="2"/>
    <x v="3"/>
    <s v="Estudios Económicos y Financieros"/>
    <s v="Estadistica y Estudios Económicos"/>
    <s v="No"/>
    <x v="0"/>
    <x v="3"/>
    <x v="1"/>
    <s v="Sistemas Bancarios"/>
    <s v="Johnny Rocca"/>
    <s v="Juan Carlos Zavaleta"/>
    <m/>
    <d v="2027-07-01T00:00:00"/>
    <d v="2027-10-12T00:00:00"/>
    <d v="2027-10-19T00:00:00"/>
    <d v="2027-12-17T00:00:00"/>
    <d v="2027-12-24T00:00:00"/>
    <d v="2027-12-31T00:00:00"/>
    <n v="183"/>
    <x v="1"/>
    <x v="0"/>
    <x v="1"/>
    <x v="13"/>
    <s v="No está"/>
  </r>
  <r>
    <s v="Migración y actualización de CIIU actual a la codificación CIIU rev4 en la BDUC y  aplicativos bases Fase II - A"/>
    <n v="1"/>
    <n v="7"/>
    <s v="3 meses"/>
    <x v="2"/>
    <x v="3"/>
    <s v="Estudios Económicos y Financieros"/>
    <s v="Estadistica y Estudios Económicos"/>
    <s v="No"/>
    <x v="0"/>
    <x v="3"/>
    <x v="1"/>
    <s v="Sistemas Bancarios"/>
    <s v="Johnny Rocca"/>
    <s v="Juan Carlos Zavaleta"/>
    <m/>
    <d v="2027-07-01T00:00:00"/>
    <d v="2027-10-12T00:00:00"/>
    <d v="2027-10-19T00:00:00"/>
    <d v="2027-12-17T00:00:00"/>
    <d v="2027-12-24T00:00:00"/>
    <d v="2027-12-31T00:00:00"/>
    <n v="183"/>
    <x v="1"/>
    <x v="0"/>
    <x v="1"/>
    <x v="13"/>
    <s v="No está"/>
  </r>
  <r>
    <s v="Merchant Credit"/>
    <n v="1"/>
    <n v="8"/>
    <s v="3 meses"/>
    <x v="2"/>
    <x v="0"/>
    <s v="Canales Alternos"/>
    <s v="Canales Virtuales"/>
    <s v="MEMORANDO N° 00000091 - 2026-BN/3252"/>
    <x v="0"/>
    <x v="1"/>
    <x v="1"/>
    <s v="Sistemas Bancarios"/>
    <s v="Vladimir Cajavilca"/>
    <s v="Omar Sarmiento"/>
    <s v="FALTA LA FIRMA DEL GERENTE"/>
    <d v="2026-09-01T00:00:00"/>
    <d v="2026-12-03T00:00:00"/>
    <d v="2026-12-14T00:00:00"/>
    <d v="2027-02-10T00:00:00"/>
    <d v="2027-02-17T00:00:00"/>
    <d v="2027-02-24T00:00:00"/>
    <n v="176"/>
    <x v="1"/>
    <x v="0"/>
    <x v="1"/>
    <x v="9"/>
    <n v="3338"/>
  </r>
  <r>
    <s v="Mejoras Módulo de Inventario Sección Almacén"/>
    <n v="1"/>
    <n v="2"/>
    <s v="6 mes"/>
    <x v="4"/>
    <x v="6"/>
    <s v="Servicios"/>
    <s v="Almacen"/>
    <s v="MEMORANDO N° 00000039 - 2026-BN/2627"/>
    <x v="0"/>
    <x v="0"/>
    <x v="1"/>
    <s v="Sistemas Administrativos"/>
    <s v="Emerson Quecara"/>
    <s v="María Barboza"/>
    <m/>
    <d v="2026-08-06T00:00:00"/>
    <d v="2027-03-17T00:00:00"/>
    <d v="2027-03-24T00:00:00"/>
    <d v="2027-06-04T00:00:00"/>
    <d v="2027-06-14T00:00:00"/>
    <d v="2027-06-21T00:00:00"/>
    <n v="319"/>
    <x v="1"/>
    <x v="0"/>
    <x v="1"/>
    <x v="14"/>
    <s v="No está"/>
  </r>
  <r>
    <s v="Mejorar la estabilidad operativa de sistema de alertamiento AS VF"/>
    <n v="1"/>
    <n v="3"/>
    <s v="3 meses"/>
    <x v="2"/>
    <x v="4"/>
    <s v="Prevención del Fraude"/>
    <s v="Monitoreo y Respuesta"/>
    <s v="MEMORANDO N° 00000006 - 2026-BN/2212"/>
    <x v="0"/>
    <x v="3"/>
    <x v="1"/>
    <s v="Sistemas Administrativos"/>
    <s v="David Coca"/>
    <s v="María Barboza"/>
    <m/>
    <d v="2026-10-01T00:00:00"/>
    <d v="2027-01-08T00:00:00"/>
    <d v="2027-01-15T00:00:00"/>
    <d v="2027-03-12T00:00:00"/>
    <d v="2027-03-19T00:00:00"/>
    <d v="2027-03-30T00:00:00"/>
    <n v="180"/>
    <x v="1"/>
    <x v="0"/>
    <x v="1"/>
    <x v="1"/>
    <s v="No está"/>
  </r>
  <r>
    <s v="Mejorar el Proceso de Apertura de Cuentas masivas e individuales en BDUC"/>
    <n v="1"/>
    <n v="38"/>
    <s v="6 meses"/>
    <x v="4"/>
    <x v="1"/>
    <s v="SubGerencia de Captaciones y Pagaduria"/>
    <s v="Apertura de Cuentas"/>
    <s v="MEMORANDO N° 00000362 - 2025-BN/3111"/>
    <x v="0"/>
    <x v="0"/>
    <x v="1"/>
    <s v="Sistemas Bancarios"/>
    <s v="Johnny Rocca"/>
    <s v="Junior Quicaño"/>
    <m/>
    <d v="2027-06-28T00:00:00"/>
    <d v="2028-02-11T00:00:00"/>
    <d v="2028-02-18T00:00:00"/>
    <d v="2028-04-28T00:00:00"/>
    <d v="2028-05-05T00:00:00"/>
    <d v="2028-05-12T00:00:00"/>
    <n v="319"/>
    <x v="1"/>
    <x v="0"/>
    <x v="1"/>
    <x v="12"/>
    <n v="3244"/>
  </r>
  <r>
    <s v="mejora integral en el apliucativo SIVC(Sistema de Valores en custodia) Operativo/Legal"/>
    <n v="1"/>
    <n v="23"/>
    <s v="6 meses"/>
    <x v="4"/>
    <x v="1"/>
    <s v="Subgerencia Caja y Valores "/>
    <s v="Caja y Valores en Custodia"/>
    <s v="MEMORANDO N° 00000218 - 2025-BN/3131"/>
    <x v="0"/>
    <x v="2"/>
    <x v="1"/>
    <s v="Sistemas Administrativos"/>
    <s v="Jorge Mora"/>
    <s v="Junior Quicaño"/>
    <s v="Anexo 2 indica evolutivo."/>
    <d v="2026-09-07T00:00:00"/>
    <d v="2027-04-20T00:00:00"/>
    <d v="2027-04-27T00:00:00"/>
    <d v="2027-07-08T00:00:00"/>
    <d v="2027-07-15T00:00:00"/>
    <d v="2027-07-22T00:00:00"/>
    <n v="318"/>
    <x v="1"/>
    <x v="0"/>
    <x v="1"/>
    <x v="11"/>
    <n v="3238"/>
  </r>
  <r>
    <s v="Mejora en el otorgamiento de Tarjeta de Crédito"/>
    <n v="1"/>
    <n v="9"/>
    <s v="3 meses"/>
    <x v="2"/>
    <x v="2"/>
    <s v="Banca Personal"/>
    <s v="Tarjeta de Crédito"/>
    <s v="No"/>
    <x v="0"/>
    <x v="3"/>
    <x v="1"/>
    <s v="Sistemas Bancarios"/>
    <s v="Waldo Basurto / Fiorella Galvan"/>
    <s v="Milagros Huamani"/>
    <m/>
    <d v="2026-08-03T00:00:00"/>
    <d v="2026-11-05T00:00:00"/>
    <d v="2026-11-12T00:00:00"/>
    <d v="2027-01-13T00:00:00"/>
    <d v="2027-01-20T00:00:00"/>
    <d v="2027-01-27T00:00:00"/>
    <n v="177"/>
    <x v="1"/>
    <x v="0"/>
    <x v="1"/>
    <x v="4"/>
    <s v="No está"/>
  </r>
  <r>
    <s v="Mejora del Reporte 36 - Auditroia Externa"/>
    <n v="1"/>
    <n v="2"/>
    <s v="1 mes"/>
    <x v="0"/>
    <x v="2"/>
    <s v="Banca Personal"/>
    <s v="Préstamo Multired"/>
    <s v="MEMORANDO N° 00000084 - 2026-BN/3347"/>
    <x v="0"/>
    <x v="2"/>
    <x v="1"/>
    <s v="Sistemas Bancarios"/>
    <s v="Waldo Basurto / Fiorella Galvan"/>
    <s v="Milagros Huamani"/>
    <m/>
    <d v="2026-08-03T00:00:00"/>
    <d v="2026-09-15T00:00:00"/>
    <d v="2026-09-22T00:00:00"/>
    <d v="2026-11-04T00:00:00"/>
    <d v="2026-11-11T00:00:00"/>
    <d v="2026-11-18T00:00:00"/>
    <n v="107"/>
    <x v="1"/>
    <x v="0"/>
    <x v="1"/>
    <x v="8"/>
    <n v="3253"/>
  </r>
  <r>
    <s v="Mapeo de códigos status en Esplink&quot; para NCR"/>
    <n v="1"/>
    <n v="3"/>
    <s v="4 meses"/>
    <x v="1"/>
    <x v="0"/>
    <s v="Canales Alternos"/>
    <s v="Canales Presenciales"/>
    <s v="MEMORANDO N° 00000044 - 2026-BN/3251"/>
    <x v="0"/>
    <x v="2"/>
    <x v="1"/>
    <s v="Sistemas Bancarios"/>
    <s v="Vladimir Cajavilca"/>
    <s v="Omar Sarmiento"/>
    <s v=" "/>
    <d v="2026-08-01T00:00:00"/>
    <d v="2027-01-11T00:00:00"/>
    <d v="2027-01-18T00:00:00"/>
    <d v="2027-03-31T00:00:00"/>
    <d v="2027-04-07T00:00:00"/>
    <d v="2027-04-21T00:00:00"/>
    <n v="263"/>
    <x v="1"/>
    <x v="0"/>
    <x v="1"/>
    <x v="3"/>
    <n v="3198"/>
  </r>
  <r>
    <s v="Mapeo de códigos status en Esplink&quot; para Diebold"/>
    <n v="1"/>
    <n v="3"/>
    <s v="4 meses"/>
    <x v="1"/>
    <x v="0"/>
    <s v="Canales Alternos"/>
    <s v="Canales Presenciales"/>
    <s v="MEMORANDO N° 00000044 - 2026-BN/3251"/>
    <x v="0"/>
    <x v="2"/>
    <x v="1"/>
    <s v="Sistemas Bancarios"/>
    <s v="Vladimir Cajavilca"/>
    <s v="Omar Sarmiento"/>
    <s v=" "/>
    <d v="2026-08-01T00:00:00"/>
    <d v="2027-01-11T00:00:00"/>
    <d v="2027-01-18T00:00:00"/>
    <d v="2027-03-31T00:00:00"/>
    <d v="2027-04-07T00:00:00"/>
    <d v="2027-04-21T00:00:00"/>
    <n v="263"/>
    <x v="1"/>
    <x v="0"/>
    <x v="1"/>
    <x v="3"/>
    <n v="3199"/>
  </r>
  <r>
    <s v="Mantenimiento de simuladores web de Préstamos Multired, Tarjeta de Crédito y Crédito Hipotecario."/>
    <n v="1"/>
    <n v="2"/>
    <s v="4 meses"/>
    <x v="1"/>
    <x v="3"/>
    <s v="Estudios Económicos y Financieros"/>
    <s v="Estudios Financieros"/>
    <s v="MEMORANDO N° 00000018 - 2026-BN/3443"/>
    <x v="0"/>
    <x v="3"/>
    <x v="1"/>
    <s v="Sistemas Bancarios"/>
    <s v="Fiorella Galván"/>
    <s v="Juan Carlos Zavaleta"/>
    <m/>
    <d v="2026-08-03T00:00:00"/>
    <d v="2027-01-12T00:00:00"/>
    <d v="2027-01-19T00:00:00"/>
    <d v="2027-04-01T00:00:00"/>
    <d v="2027-04-08T00:00:00"/>
    <d v="2027-04-22T00:00:00"/>
    <n v="262"/>
    <x v="1"/>
    <x v="0"/>
    <x v="1"/>
    <x v="3"/>
    <n v="3352"/>
  </r>
  <r>
    <s v="Mantenimiento a la opción en Host para realizar el Cambio de Situación Cuentas Corrientes"/>
    <n v="1"/>
    <n v="34"/>
    <s v="2 meses"/>
    <x v="2"/>
    <x v="1"/>
    <s v="SubGerencia de Captaciones y Pagaduria"/>
    <s v="Administración de Cuentas y Pagaduría"/>
    <s v="MEMORANDO N° 00000216 - 2026 BN/3191"/>
    <x v="0"/>
    <x v="4"/>
    <x v="1"/>
    <s v="Sistemas Bancarios"/>
    <s v="Maribel Medina"/>
    <s v="Junior Quicaño"/>
    <m/>
    <d v="2026-08-03T00:00:00"/>
    <d v="2026-11-05T00:00:00"/>
    <d v="2026-11-12T00:00:00"/>
    <d v="2027-01-13T00:00:00"/>
    <d v="2027-01-20T00:00:00"/>
    <d v="2027-01-27T00:00:00"/>
    <n v="177"/>
    <x v="1"/>
    <x v="0"/>
    <x v="1"/>
    <x v="4"/>
    <n v="3235"/>
  </r>
  <r>
    <s v="Mandatorio - Reemplazo del Edit Package - Cambio a las tablas ARDEF"/>
    <n v="1"/>
    <n v="6"/>
    <s v="3 meses"/>
    <x v="2"/>
    <x v="0"/>
    <s v="Canales Alternos"/>
    <s v="Canales Virtuales"/>
    <s v="MEMORANDO N° 00000091 - 2026-BN/3252"/>
    <x v="0"/>
    <x v="1"/>
    <x v="1"/>
    <s v="Sistemas Bancarios"/>
    <s v="Vladimir Cajavilca"/>
    <s v="Omar Sarmiento"/>
    <s v="La estimacion es realizada mediante el correo de maribel del viernes 15/05/2026 17:19_x000a_Pendiente de Eavlaución del Usuario."/>
    <d v="2026-09-15T00:00:00"/>
    <d v="2026-12-21T00:00:00"/>
    <d v="2026-12-29T00:00:00"/>
    <d v="2027-02-24T00:00:00"/>
    <d v="2027-03-03T00:00:00"/>
    <d v="2027-03-10T00:00:00"/>
    <n v="176"/>
    <x v="1"/>
    <x v="0"/>
    <x v="1"/>
    <x v="1"/>
    <n v="3334"/>
  </r>
  <r>
    <s v="Libro de Reclamaciòn Digital"/>
    <n v="1"/>
    <n v="1"/>
    <s v="1 mes"/>
    <x v="0"/>
    <x v="0"/>
    <s v="Canales Alternos"/>
    <s v="Canales Virtuales"/>
    <s v="MEMORANDO N° 00000091 - 2026-BN/3252"/>
    <x v="0"/>
    <x v="3"/>
    <x v="1"/>
    <s v="Soluciones Digitales"/>
    <s v="Mario Carbajo"/>
    <s v="Omar Sarmiento"/>
    <m/>
    <d v="2026-06-01T00:00:00"/>
    <d v="2026-07-14T00:00:00"/>
    <d v="2026-07-21T00:00:00"/>
    <d v="2026-09-07T00:00:00"/>
    <d v="2026-09-14T00:00:00"/>
    <d v="2026-09-21T00:00:00"/>
    <n v="112"/>
    <x v="1"/>
    <x v="0"/>
    <x v="2"/>
    <x v="2"/>
    <n v="3325"/>
  </r>
  <r>
    <s v="Levantamiento del Secreto Bancario para Extorsionadores - Generación de Información de Canales Virtuales para subida al Big Data"/>
    <n v="1"/>
    <n v="28"/>
    <s v="2 meses"/>
    <x v="2"/>
    <x v="1"/>
    <s v="Servicios Bancarios y Recaudación"/>
    <s v="Depósitos Judiciales y Administrativos"/>
    <s v="MEMORANDO N° 00000010 - 2026-BN/3212"/>
    <x v="0"/>
    <x v="0"/>
    <x v="1"/>
    <s v="Sistemas Administrativos"/>
    <s v="Luis Almeyda"/>
    <s v="Junior Quicaño"/>
    <m/>
    <d v="2026-07-06T00:00:00"/>
    <d v="2026-10-13T00:00:00"/>
    <d v="2026-10-20T00:00:00"/>
    <d v="2026-12-17T00:00:00"/>
    <d v="2026-12-24T00:00:00"/>
    <d v="2027-01-04T00:00:00"/>
    <n v="182"/>
    <x v="1"/>
    <x v="0"/>
    <x v="1"/>
    <x v="6"/>
    <n v="3228"/>
  </r>
  <r>
    <s v="Integracion sistema prevencion de fraudes - data lake"/>
    <n v="1"/>
    <n v="7"/>
    <s v="3 meses"/>
    <x v="2"/>
    <x v="0"/>
    <s v="Canales Alternos"/>
    <s v="Canales Presenciales"/>
    <s v="MEMORANDO N° 00000044 - 2026-BN/3251"/>
    <x v="0"/>
    <x v="2"/>
    <x v="1"/>
    <s v="Sistemas Bancarios"/>
    <s v="Vladimir Cajavilca"/>
    <s v="Omar Sarmiento"/>
    <s v=" "/>
    <d v="2026-07-01T00:00:00"/>
    <d v="2026-10-07T00:00:00"/>
    <d v="2026-10-15T00:00:00"/>
    <d v="2026-12-14T00:00:00"/>
    <d v="2026-12-21T00:00:00"/>
    <d v="2026-12-29T00:00:00"/>
    <n v="181"/>
    <x v="1"/>
    <x v="0"/>
    <x v="1"/>
    <x v="6"/>
    <n v="3335"/>
  </r>
  <r>
    <s v="INCORPORACIÓN DE NUEVAS UNIVERSIDADES NACIONALES EN EL CANAL PÁGALO PE."/>
    <n v="1"/>
    <n v="1"/>
    <s v="1 mes"/>
    <x v="0"/>
    <x v="0"/>
    <s v="Canales Alternos"/>
    <s v="Canales Virtuales"/>
    <s v="MEMORANDO N° 00000114 - 2026-BN/3252"/>
    <x v="0"/>
    <x v="0"/>
    <x v="1"/>
    <s v="Sistemas Bancarios"/>
    <s v="Jorge Rueda / Angela Rissco"/>
    <s v="Omar Sarmiento"/>
    <m/>
    <d v="2026-08-03T00:00:00"/>
    <d v="2026-09-15T00:00:00"/>
    <d v="2026-09-22T00:00:00"/>
    <d v="2026-11-04T00:00:00"/>
    <d v="2026-11-11T00:00:00"/>
    <d v="2026-11-18T00:00:00"/>
    <n v="107"/>
    <x v="1"/>
    <x v="0"/>
    <x v="1"/>
    <x v="8"/>
    <n v="3351"/>
  </r>
  <r>
    <s v="Incorporación de cuenta corriente a entidad 0085 Fondo Mi Vivienda Txn 0553"/>
    <n v="1"/>
    <n v="47"/>
    <s v="1 mes"/>
    <x v="0"/>
    <x v="1"/>
    <s v="Servicios Bancarios y Recaudación"/>
    <s v="Recaudación y Corresponsalía"/>
    <s v="MEMORANDO N° 00000272 - 2025- BN/3243"/>
    <x v="0"/>
    <x v="0"/>
    <x v="1"/>
    <s v="Sistemas Bancarios"/>
    <s v="Waldo Basurto"/>
    <s v="Junior Quicaño"/>
    <m/>
    <d v="2026-07-06T00:00:00"/>
    <d v="2026-08-21T00:00:00"/>
    <d v="2026-08-28T00:00:00"/>
    <d v="2026-10-12T00:00:00"/>
    <d v="2026-10-19T00:00:00"/>
    <d v="2026-10-26T00:00:00"/>
    <n v="112"/>
    <x v="1"/>
    <x v="0"/>
    <x v="1"/>
    <x v="15"/>
    <n v="3250"/>
  </r>
  <r>
    <s v="Inclusión de Nuevas cuentas contables para las contabilizaciones de tres tipos de custodias de Pagares: IFISGobierno Subnacional y Gobierno Nacional"/>
    <n v="1"/>
    <n v="24"/>
    <s v="4 meses"/>
    <x v="1"/>
    <x v="1"/>
    <s v="Subgerencia Caja y Valores "/>
    <s v="Caja y Valores en Custodia"/>
    <s v="MEMORANDO N° 00000217 - 2025-BN/3131"/>
    <x v="0"/>
    <x v="2"/>
    <x v="1"/>
    <s v="Sistemas Bancarios"/>
    <s v="Fiorella Galván"/>
    <s v="Junior Quicaño"/>
    <s v="_x000a_Recomendación: Falta sello."/>
    <d v="2026-09-07T00:00:00"/>
    <d v="2027-02-15T00:00:00"/>
    <d v="2027-02-22T00:00:00"/>
    <d v="2027-05-05T00:00:00"/>
    <d v="2027-05-12T00:00:00"/>
    <d v="2027-05-26T00:00:00"/>
    <n v="261"/>
    <x v="1"/>
    <x v="0"/>
    <x v="1"/>
    <x v="5"/>
    <n v="3239"/>
  </r>
  <r>
    <s v="Incidencias con el Seguro desgravamen Crédito Hipotecario"/>
    <n v="1"/>
    <n v="16"/>
    <s v="2 meses"/>
    <x v="2"/>
    <x v="2"/>
    <s v="Banca Personal"/>
    <s v="Crédito Hipotecario"/>
    <s v="No"/>
    <x v="0"/>
    <x v="4"/>
    <x v="1"/>
    <s v="Sistemas Bancarios"/>
    <s v="Javier Urquiaga"/>
    <s v="Milagros Huamani"/>
    <m/>
    <d v="2027-02-04T00:00:00"/>
    <d v="2027-05-11T00:00:00"/>
    <d v="2027-05-18T00:00:00"/>
    <d v="2027-07-15T00:00:00"/>
    <d v="2027-07-22T00:00:00"/>
    <d v="2027-08-03T00:00:00"/>
    <n v="180"/>
    <x v="1"/>
    <x v="0"/>
    <x v="1"/>
    <x v="11"/>
    <s v="No está"/>
  </r>
  <r>
    <s v="Implementar mandatorio Visa Account Name Inquiry"/>
    <n v="1"/>
    <n v="4"/>
    <s v="4 meses"/>
    <x v="1"/>
    <x v="0"/>
    <s v="Canales Alternos"/>
    <s v="Canales Virtuales"/>
    <s v="MEMORANDO N° 00000091 - 2026-BN/3252"/>
    <x v="0"/>
    <x v="0"/>
    <x v="1"/>
    <s v="Sistemas Bancarios"/>
    <s v="Vladimir Cajavilca"/>
    <s v="Omar Sarmiento"/>
    <s v=" "/>
    <d v="2026-06-01T00:00:00"/>
    <d v="2026-11-10T00:00:00"/>
    <d v="2026-11-17T00:00:00"/>
    <d v="2027-02-01T00:00:00"/>
    <d v="2027-02-08T00:00:00"/>
    <d v="2027-02-22T00:00:00"/>
    <n v="266"/>
    <x v="1"/>
    <x v="0"/>
    <x v="2"/>
    <x v="9"/>
    <n v="3330"/>
  </r>
  <r>
    <s v="Implementar el servicio de cobranza de la Oficina de Normalizaciòn Previsional - ONP en el canal Ventanilla y Pàgalo.pe (APP y Web) Modalidad: En Linea"/>
    <n v="1"/>
    <n v="2"/>
    <s v="3 meses"/>
    <x v="2"/>
    <x v="0"/>
    <s v="Canales Alternos"/>
    <s v="Canales Virtuales"/>
    <s v="MEMORANDO N° 00000091 - 2026-BN/3252"/>
    <x v="0"/>
    <x v="0"/>
    <x v="1"/>
    <s v="Sistemas Bancarios"/>
    <s v="Jorge Rueda / Fiorella Galvan / Angela Rissco"/>
    <s v="Omar Sarmiento"/>
    <s v=" "/>
    <d v="2026-09-01T00:00:00"/>
    <d v="2026-12-03T00:00:00"/>
    <d v="2026-12-14T00:00:00"/>
    <d v="2027-02-10T00:00:00"/>
    <d v="2027-02-17T00:00:00"/>
    <d v="2027-02-24T00:00:00"/>
    <n v="176"/>
    <x v="1"/>
    <x v="0"/>
    <x v="1"/>
    <x v="9"/>
    <n v="3326"/>
  </r>
  <r>
    <s v="Implementación transacción múltiple tranferencias internas en Saraweb"/>
    <n v="1"/>
    <n v="41"/>
    <s v="4 meses"/>
    <x v="1"/>
    <x v="1"/>
    <s v="SubGerencia de Captaciones y Pagaduria"/>
    <s v="Administración de Cuentas y Pagaduría"/>
    <s v="MEMORANDO N° 00000213 - 2026 BN/3191"/>
    <x v="0"/>
    <x v="0"/>
    <x v="1"/>
    <s v="Sistemas Bancarios"/>
    <s v="Adolfo Escobar"/>
    <s v="Junior Quicaño"/>
    <m/>
    <d v="2026-09-01T00:00:00"/>
    <d v="2027-02-09T00:00:00"/>
    <d v="2027-02-16T00:00:00"/>
    <d v="2027-04-29T00:00:00"/>
    <d v="2027-05-06T00:00:00"/>
    <d v="2027-05-20T00:00:00"/>
    <n v="261"/>
    <x v="1"/>
    <x v="0"/>
    <x v="1"/>
    <x v="5"/>
    <n v="3245"/>
  </r>
  <r>
    <s v="Implementación transacción múltiple para adelanto, prepago o cancelación de Préstamos Multired, Crédito Hipotecario o pago de Tarjeta de Crédito."/>
    <n v="1"/>
    <n v="46"/>
    <s v="6 meses"/>
    <x v="4"/>
    <x v="1"/>
    <s v="SubGerencia de Captaciones y Pagaduria"/>
    <s v="Administración de Cuentas y Pagaduría"/>
    <s v="MEMORANDO N° 00000214 - 2026 BN/3191"/>
    <x v="0"/>
    <x v="0"/>
    <x v="1"/>
    <s v="Sistemas Bancarios"/>
    <s v="Fiorella Galván"/>
    <s v="Junior Quicaño"/>
    <m/>
    <d v="2026-09-07T00:00:00"/>
    <d v="2027-04-20T00:00:00"/>
    <d v="2027-04-27T00:00:00"/>
    <d v="2027-07-08T00:00:00"/>
    <d v="2027-07-15T00:00:00"/>
    <d v="2027-07-22T00:00:00"/>
    <n v="318"/>
    <x v="1"/>
    <x v="0"/>
    <x v="1"/>
    <x v="11"/>
    <n v="3249"/>
  </r>
  <r>
    <s v="Implementación modalidad cobranza en línea de la Empresa de Electricidad Electro Sur Tacna. l 19.06.2025"/>
    <n v="1"/>
    <n v="32"/>
    <s v="5 meses"/>
    <x v="1"/>
    <x v="1"/>
    <s v="Servicios Bancarios y Recaudación"/>
    <s v="Recaudación y Corresponsalía"/>
    <s v="MEMORANDO N° 00000025 - 2026-BN/3243"/>
    <x v="0"/>
    <x v="0"/>
    <x v="1"/>
    <s v="Sistemas Bancarios"/>
    <s v="Fiorella Galván"/>
    <s v="Junior Quicaño"/>
    <s v="Dependencia nuevo Hub de Arquitectura"/>
    <d v="2026-09-07T00:00:00"/>
    <d v="2027-02-15T00:00:00"/>
    <d v="2027-02-22T00:00:00"/>
    <d v="2027-05-05T00:00:00"/>
    <d v="2027-05-12T00:00:00"/>
    <d v="2027-05-26T00:00:00"/>
    <n v="261"/>
    <x v="1"/>
    <x v="0"/>
    <x v="1"/>
    <x v="5"/>
    <n v="3231"/>
  </r>
  <r>
    <s v="Implementación del RADI en su FASE II – Integración con los Sistemas del Banco para la comercialización de Seguros Optativos"/>
    <n v="1"/>
    <n v="7"/>
    <s v="6 meses"/>
    <x v="4"/>
    <x v="2"/>
    <s v="Banca Personal"/>
    <s v="Banca Seguros "/>
    <s v="MEMORANDO N° 00000024 - 2026-BN3345"/>
    <x v="0"/>
    <x v="0"/>
    <x v="1"/>
    <s v="Sistemas Bancarios"/>
    <s v="Fiorella Galván"/>
    <s v="Milagros Huamani"/>
    <m/>
    <d v="2026-07-06T00:00:00"/>
    <d v="2027-02-18T00:00:00"/>
    <d v="2027-02-25T00:00:00"/>
    <d v="2027-05-10T00:00:00"/>
    <d v="2027-05-17T00:00:00"/>
    <d v="2027-05-24T00:00:00"/>
    <n v="322"/>
    <x v="1"/>
    <x v="0"/>
    <x v="1"/>
    <x v="5"/>
    <n v="3218"/>
  </r>
  <r>
    <s v="Implementación del Contactless en el Switch Stratus "/>
    <n v="1"/>
    <n v="13"/>
    <s v="3 meses"/>
    <x v="2"/>
    <x v="0"/>
    <s v="Canales Alternos"/>
    <s v="Canales Presenciales"/>
    <s v="MEMORANDO N° 00000044 -2026-BN/3251"/>
    <x v="0"/>
    <x v="1"/>
    <x v="1"/>
    <s v="Sistemas Bancarios"/>
    <s v="Eduardo Cárdenas"/>
    <s v="Omar Sarmiento"/>
    <m/>
    <d v="2026-11-03T00:00:00"/>
    <d v="2027-02-09T00:00:00"/>
    <d v="2027-02-16T00:00:00"/>
    <d v="2027-04-15T00:00:00"/>
    <d v="2027-04-22T00:00:00"/>
    <d v="2027-04-29T00:00:00"/>
    <n v="177"/>
    <x v="1"/>
    <x v="0"/>
    <x v="1"/>
    <x v="3"/>
    <n v="3193"/>
  </r>
  <r>
    <s v="Implementación de nueva modalidad de pago con POS en Págalo"/>
    <n v="1"/>
    <s v="Por definir"/>
    <s v="4 meses"/>
    <x v="1"/>
    <x v="0"/>
    <s v="Canales Alternos"/>
    <s v="Canales Virtuales"/>
    <s v="MEMORANDO N° 00000539 - 2025-BN/3252"/>
    <x v="0"/>
    <x v="0"/>
    <x v="1"/>
    <s v="Sistemas Bancarios"/>
    <s v="Jorge Rueda / Angela Rissco"/>
    <s v="Omar Sarmiento"/>
    <s v="No tiene definido Orden de Atención"/>
    <d v="2026-08-03T00:00:00"/>
    <d v="2027-01-12T00:00:00"/>
    <d v="2027-01-19T00:00:00"/>
    <d v="2027-04-01T00:00:00"/>
    <d v="2027-04-08T00:00:00"/>
    <d v="2027-04-22T00:00:00"/>
    <n v="262"/>
    <x v="1"/>
    <x v="0"/>
    <x v="1"/>
    <x v="3"/>
    <n v="3145"/>
  </r>
  <r>
    <s v="Implementación de la transacción 0280 &quot;Identificación biométrica del cliente&quot; en Saraweb como paso previo a la transacción 4509 &quot;Afiliación a la clave dinámica&quot;."/>
    <n v="1"/>
    <n v="6"/>
    <s v="3 meses"/>
    <x v="2"/>
    <x v="0"/>
    <s v="Canales Alternos"/>
    <s v="Canales Virtuales"/>
    <s v="MEMORANDO N° 00000120 - 2026-BN/3252"/>
    <x v="0"/>
    <x v="2"/>
    <x v="1"/>
    <s v="Sistemas Bancarios"/>
    <s v="Rossana Rojas"/>
    <s v="Omar Sarmiento"/>
    <s v="Se coordinó con Rossana Rojas"/>
    <d v="2026-08-03T00:00:00"/>
    <d v="2026-11-05T00:00:00"/>
    <d v="2026-11-12T00:00:00"/>
    <d v="2027-01-13T00:00:00"/>
    <d v="2027-01-20T00:00:00"/>
    <d v="2027-01-27T00:00:00"/>
    <n v="177"/>
    <x v="1"/>
    <x v="0"/>
    <x v="1"/>
    <x v="4"/>
    <s v="No está"/>
  </r>
  <r>
    <s v="Homologación del proceso de bloqueos automaticos , entre cuentas de ahorros , cuentas ctes UOB y cuentas de proveedores"/>
    <n v="1"/>
    <n v="21"/>
    <s v="3 meses"/>
    <x v="2"/>
    <x v="1"/>
    <s v="SubGerencia de Captaciones y Pagaduria"/>
    <s v="Administración de Cuentas y Pagaduría"/>
    <s v="MEMORANDO N° 00000549 - 2026-BN/3191"/>
    <x v="0"/>
    <x v="2"/>
    <x v="1"/>
    <s v="Sistemas Bancarios"/>
    <s v="Maribel Medina"/>
    <s v="Junior Quicaño"/>
    <s v="_x000a_Recomendación: Falta sello. "/>
    <d v="2026-07-20T00:00:00"/>
    <d v="2026-10-27T00:00:00"/>
    <d v="2026-11-03T00:00:00"/>
    <d v="2027-01-04T00:00:00"/>
    <d v="2027-01-11T00:00:00"/>
    <d v="2027-01-18T00:00:00"/>
    <n v="182"/>
    <x v="1"/>
    <x v="0"/>
    <x v="1"/>
    <x v="4"/>
    <n v="3251"/>
  </r>
  <r>
    <s v="Homologación de códigos de denegación"/>
    <n v="1"/>
    <n v="12"/>
    <s v="3 meses"/>
    <x v="2"/>
    <x v="0"/>
    <s v="Canales Alternos"/>
    <s v="Canales Virtuales"/>
    <s v="MEMORANDO N° 00000091 - 2026-BN/3252"/>
    <x v="0"/>
    <x v="1"/>
    <x v="1"/>
    <s v="Sistemas Bancarios"/>
    <s v="Vladimir Cajavilca"/>
    <s v="Omar Sarmiento"/>
    <m/>
    <d v="2026-07-15T00:00:00"/>
    <d v="2026-10-22T00:00:00"/>
    <d v="2026-10-29T00:00:00"/>
    <d v="2026-12-29T00:00:00"/>
    <d v="2027-01-06T00:00:00"/>
    <d v="2027-01-13T00:00:00"/>
    <n v="182"/>
    <x v="1"/>
    <x v="0"/>
    <x v="1"/>
    <x v="4"/>
    <n v="3345"/>
  </r>
  <r>
    <s v="Homogenizar los horarios de corte de los diversos canales de atención para las 00: horas -Procesos Next Day"/>
    <n v="1"/>
    <n v="35"/>
    <s v="No definido"/>
    <x v="3"/>
    <x v="1"/>
    <s v="SubGerencia de Captaciones y Pagaduria"/>
    <s v="Administración de Cuentas y Pagaduría"/>
    <s v="MEMORANDO N° 00000208 - 2026 BN/3191"/>
    <x v="0"/>
    <x v="0"/>
    <x v="0"/>
    <s v="Sistemas Bancarios"/>
    <s v="Fiorella Galván"/>
    <s v="Junior Quicaño"/>
    <s v="Evaluar la propuesta de Izipay relacionado a los cambios, entrega y recepción de interfaces de tarjeta entre BN - Izipay  / izipay -BN (Responsable área usuaria y producción). Area usuaria gestionará una reunión para planificar su atención."/>
    <m/>
    <s v=""/>
    <s v=""/>
    <s v=""/>
    <s v=""/>
    <s v=""/>
    <s v=""/>
    <x v="0"/>
    <x v="1"/>
    <x v="0"/>
    <x v="0"/>
    <n v="3242"/>
  </r>
  <r>
    <s v="Habilitar transacción en Saraweb para transferencias interbancarias inmediatas vía CCE con cargo a cuentas de ahorros"/>
    <n v="1"/>
    <n v="18"/>
    <s v="4 meses"/>
    <x v="1"/>
    <x v="1"/>
    <s v="SubGerencia de Captaciones y Pagaduria"/>
    <s v="Sistema de Pagos"/>
    <s v="MEMORANDO N° 00000111 - 2025-BN/3116"/>
    <x v="0"/>
    <x v="2"/>
    <x v="1"/>
    <s v="Sistemas Bancarios"/>
    <s v="Rossana Rojas_x000a_Marilu Cordova"/>
    <s v="Junior Quicaño"/>
    <s v="Opinión de Arquitectura e Infraestuctura y seguridad por el orquestador con Novatronic._x000a_Normativo. Sellado."/>
    <d v="2026-07-06T00:00:00"/>
    <d v="2026-12-16T00:00:00"/>
    <d v="2026-12-23T00:00:00"/>
    <d v="2027-03-05T00:00:00"/>
    <d v="2027-03-12T00:00:00"/>
    <d v="2027-03-30T00:00:00"/>
    <n v="267"/>
    <x v="1"/>
    <x v="0"/>
    <x v="1"/>
    <x v="1"/>
    <s v="No está"/>
  </r>
  <r>
    <s v="Habilitar transacción en Saraweb para Pago Inmediato de Tarjetas de Crédito de Otros Bancos vía CCE con cargo a cuentas de ahorros"/>
    <n v="1"/>
    <n v="17"/>
    <s v="4 meses"/>
    <x v="1"/>
    <x v="1"/>
    <s v="SubGerencia de Captaciones y Pagaduria"/>
    <s v="Sistema de Pagos"/>
    <s v="MEMORANDO N° 00000115 - 2025-BN/3116"/>
    <x v="0"/>
    <x v="2"/>
    <x v="1"/>
    <s v="Sistemas Bancarios"/>
    <s v="Rossana Rojas /_x000a_Marilu Cordova"/>
    <s v="Junior Quicaño"/>
    <s v="El área usuario deberá de gestionar con Novatronic los cambios SIX ( el dueño del servicio tiene que entregar a Rossana)_x000a_Normativo. Sellado."/>
    <d v="2026-07-06T00:00:00"/>
    <d v="2026-12-16T00:00:00"/>
    <d v="2026-12-23T00:00:00"/>
    <d v="2027-03-05T00:00:00"/>
    <d v="2027-03-12T00:00:00"/>
    <d v="2027-03-30T00:00:00"/>
    <n v="267"/>
    <x v="1"/>
    <x v="0"/>
    <x v="1"/>
    <x v="1"/>
    <s v="No está"/>
  </r>
  <r>
    <s v="Grabar códigos TRACE de Transferencias Interbancarias Inmediatas en reporte diario DPAH4050 y archivos de ahorros TPF24, DPF27 y DPF47."/>
    <n v="1"/>
    <n v="3"/>
    <s v="2 meses"/>
    <x v="2"/>
    <x v="1"/>
    <s v="SubGerencia de Captaciones y Pagaduria"/>
    <s v="Sistema de Pagos"/>
    <s v="MEMORANDO N° 00000134 - 2025-BN/3116"/>
    <x v="0"/>
    <x v="2"/>
    <x v="1"/>
    <s v="Sistemas Bancarios"/>
    <s v="Norma Fukunaga"/>
    <s v="Junior Quicaño"/>
    <s v="_x000a_Anexo 2 indica evolutivo. - Pre requisito con Mario Carbajo Told."/>
    <d v="2026-08-03T00:00:00"/>
    <d v="2026-11-05T00:00:00"/>
    <d v="2026-11-12T00:00:00"/>
    <d v="2027-01-13T00:00:00"/>
    <d v="2027-01-20T00:00:00"/>
    <d v="2027-01-27T00:00:00"/>
    <n v="177"/>
    <x v="1"/>
    <x v="0"/>
    <x v="1"/>
    <x v="4"/>
    <s v="No está"/>
  </r>
  <r>
    <s v="Generar Proceso Automatico de inactivación de cheques de Gerencia MN,ME vigentes con mas de un año de emisión"/>
    <n v="1"/>
    <n v="26"/>
    <s v="3 meses"/>
    <x v="2"/>
    <x v="1"/>
    <s v="Servicios Bancarios y Recaudación"/>
    <s v="Soporte Servicios Financieros"/>
    <s v="MEMORANDO N° 00000035 - 2026-BN/3241"/>
    <x v="0"/>
    <x v="2"/>
    <x v="1"/>
    <s v="Sistemas Bancarios"/>
    <s v="Waldo Basurto "/>
    <s v="Junior Quicaño"/>
    <m/>
    <d v="2026-10-05T00:00:00"/>
    <d v="2027-01-12T00:00:00"/>
    <d v="2027-01-19T00:00:00"/>
    <d v="2027-03-16T00:00:00"/>
    <d v="2027-03-23T00:00:00"/>
    <d v="2027-04-01T00:00:00"/>
    <n v="178"/>
    <x v="1"/>
    <x v="0"/>
    <x v="1"/>
    <x v="1"/>
    <s v="No está"/>
  </r>
  <r>
    <s v="Generación del Reporte Crediticio de Avales de Préstamo Multired"/>
    <n v="1"/>
    <n v="11"/>
    <s v="1 mes"/>
    <x v="0"/>
    <x v="2"/>
    <s v="Banca Personal"/>
    <s v="Préstamo Multired"/>
    <s v="No"/>
    <x v="0"/>
    <x v="2"/>
    <x v="1"/>
    <s v="Sistemas Bancarios"/>
    <s v="Fiorella Galvan / Waldo Basurto"/>
    <s v="Milagros Huamani"/>
    <m/>
    <d v="2026-07-01T00:00:00"/>
    <d v="2026-08-18T00:00:00"/>
    <d v="2026-08-25T00:00:00"/>
    <d v="2026-10-06T00:00:00"/>
    <d v="2026-10-14T00:00:00"/>
    <d v="2026-10-21T00:00:00"/>
    <n v="112"/>
    <x v="1"/>
    <x v="0"/>
    <x v="1"/>
    <x v="15"/>
    <s v="No está"/>
  </r>
  <r>
    <s v="Generación de archivos Planos para desembolso, Recupero y Stock de creditos de la Cartera Banca de Gobierno e IFI's de los aplicativos CRPP - CRMY"/>
    <n v="1"/>
    <n v="6"/>
    <s v="2 meses"/>
    <x v="2"/>
    <x v="1"/>
    <s v="Servicios Bancarios y Recaudación"/>
    <s v="Soporte Servicios Financieros"/>
    <s v="MEMORANDO N° 00000016 - 2026-BN/3241"/>
    <x v="0"/>
    <x v="2"/>
    <x v="1"/>
    <s v="Sistemas Bancarios"/>
    <s v="Maribel Medina"/>
    <s v="Junior Quicaño"/>
    <s v="Anexo 2 indica evolutivo."/>
    <d v="2026-08-17T00:00:00"/>
    <d v="2026-11-18T00:00:00"/>
    <d v="2026-11-25T00:00:00"/>
    <d v="2027-01-26T00:00:00"/>
    <d v="2027-02-02T00:00:00"/>
    <d v="2027-02-09T00:00:00"/>
    <n v="176"/>
    <x v="1"/>
    <x v="0"/>
    <x v="1"/>
    <x v="9"/>
    <n v="3225"/>
  </r>
  <r>
    <s v="Funcionalidad en Canales App Banca Móvil y Multired Virtual para activar y desactivar las notificaciones enviadas a los clientes mediante mensaje SMS por abonos de Transferencias Interbancarias Inmediatas desde otras Entidades Financieras"/>
    <n v="1"/>
    <n v="1"/>
    <s v="3 meses"/>
    <x v="2"/>
    <x v="1"/>
    <s v="SubGerencia de Captaciones y Pagaduria"/>
    <s v="Sistema de Pagos"/>
    <s v="MEMORANDO N° 00000170 - 2025-BN/3116"/>
    <x v="0"/>
    <x v="2"/>
    <x v="1"/>
    <s v="Soluciones Digitales"/>
    <s v="Mario Carbajo"/>
    <s v="Junior Quicaño"/>
    <m/>
    <d v="2026-06-15T00:00:00"/>
    <d v="2026-09-22T00:00:00"/>
    <d v="2026-09-29T00:00:00"/>
    <d v="2026-11-25T00:00:00"/>
    <d v="2026-12-02T00:00:00"/>
    <d v="2026-12-11T00:00:00"/>
    <n v="179"/>
    <x v="1"/>
    <x v="0"/>
    <x v="3"/>
    <x v="6"/>
    <s v="No está"/>
  </r>
  <r>
    <s v="Facturación electrónica del producto crédito Hipotecario fase 2"/>
    <n v="1"/>
    <n v="13"/>
    <s v="2 meses"/>
    <x v="2"/>
    <x v="2"/>
    <s v="Banca Personal"/>
    <s v="Crédito Hipotecario"/>
    <s v="No"/>
    <x v="0"/>
    <x v="3"/>
    <x v="1"/>
    <s v="Sistemas Bancarios"/>
    <s v="Javier Urquiaga"/>
    <s v="Milagros Huamani"/>
    <m/>
    <d v="2026-11-03T00:00:00"/>
    <d v="2027-02-09T00:00:00"/>
    <d v="2027-02-16T00:00:00"/>
    <d v="2027-04-15T00:00:00"/>
    <d v="2027-04-22T00:00:00"/>
    <d v="2027-04-29T00:00:00"/>
    <n v="177"/>
    <x v="1"/>
    <x v="0"/>
    <x v="1"/>
    <x v="3"/>
    <s v="No está"/>
  </r>
  <r>
    <s v="Extensión período compensacion una autorización (ciertas transacciones CNP)"/>
    <n v="1"/>
    <n v="8"/>
    <s v="4 meses "/>
    <x v="1"/>
    <x v="0"/>
    <s v="Canales Alternos"/>
    <s v="Canales Virtuales"/>
    <s v="MEMORANDO N° 00000093 - 2026-BN/3252"/>
    <x v="0"/>
    <x v="1"/>
    <x v="1"/>
    <s v="Sistemas Bancarios"/>
    <s v="Vladimir Cajavilca"/>
    <s v="Omar Sarmiento"/>
    <s v=" "/>
    <d v="2026-08-15T00:00:00"/>
    <d v="2027-01-22T00:00:00"/>
    <d v="2027-01-29T00:00:00"/>
    <d v="2027-04-13T00:00:00"/>
    <d v="2027-04-20T00:00:00"/>
    <d v="2027-05-04T00:00:00"/>
    <n v="262"/>
    <x v="1"/>
    <x v="0"/>
    <x v="1"/>
    <x v="3"/>
    <n v="3336"/>
  </r>
  <r>
    <s v="Exportar Data de esquemas  BN_SIMM y BN_SIMS a Big Data y brindar acceso para atención de pedidos INDECOPI"/>
    <n v="1"/>
    <n v="4"/>
    <s v="1 mes"/>
    <x v="0"/>
    <x v="0"/>
    <s v="Canales Alternos"/>
    <s v="Canales Virtuales"/>
    <s v="MEMORANDO N° 00000120 - 2026-BN/3252"/>
    <x v="0"/>
    <x v="0"/>
    <x v="1"/>
    <s v="Soluciones Digitales"/>
    <s v="Mario Carbajo"/>
    <s v="Omar Sarmiento"/>
    <m/>
    <d v="2026-07-06T00:00:00"/>
    <d v="2026-08-21T00:00:00"/>
    <d v="2026-08-28T00:00:00"/>
    <d v="2026-10-12T00:00:00"/>
    <d v="2026-10-19T00:00:00"/>
    <d v="2026-10-26T00:00:00"/>
    <n v="112"/>
    <x v="1"/>
    <x v="0"/>
    <x v="1"/>
    <x v="15"/>
    <s v="No está"/>
  </r>
  <r>
    <s v="El mantenimiento ayudará a un adecuado registro, seguimiento y control de las líneas de crédito aprobadas que otorga el Banco a las Entidades Públicas del Gobierno Nacional y Bancos Corresponsales del Exterior. "/>
    <n v="1"/>
    <n v="25"/>
    <s v="3 meses"/>
    <x v="2"/>
    <x v="1"/>
    <s v="Servicios Bancarios y Recaudación"/>
    <s v="Administración y Garantia"/>
    <s v="MEMORANDO N° 00000007 - 2026-BN/3215"/>
    <x v="0"/>
    <x v="2"/>
    <x v="1"/>
    <s v="Sistemas Bancarios"/>
    <s v="Herbert Rojas"/>
    <s v="Junior Quicaño"/>
    <s v="_x000a_Recomendación: Falta sello. "/>
    <d v="2026-08-03T00:00:00"/>
    <d v="2026-11-05T00:00:00"/>
    <d v="2026-11-12T00:00:00"/>
    <d v="2027-01-13T00:00:00"/>
    <d v="2027-01-20T00:00:00"/>
    <d v="2027-01-27T00:00:00"/>
    <n v="177"/>
    <x v="1"/>
    <x v="0"/>
    <x v="1"/>
    <x v="4"/>
    <s v="No está"/>
  </r>
  <r>
    <s v="Diferenciar el tipo de comisión que aplica a los  movimientos de ctas de ahorros (Consulta de Saldos, consulta de movimientos y retiro) realizados en cajeros automaticos, lo cual debe plasmar en las consultas de movimiento y los estados de cuenta."/>
    <n v="1"/>
    <n v="13"/>
    <s v="2 meses"/>
    <x v="2"/>
    <x v="1"/>
    <s v="SubGerencia de Captaciones y Pagaduria"/>
    <s v="Administración de Cuentas y Pagaduría"/>
    <s v="MEMORANDO N° 00000205 - 2026-BN/3191"/>
    <x v="0"/>
    <x v="2"/>
    <x v="1"/>
    <s v="Sistemas Bancarios"/>
    <s v="Norma Fukunaga"/>
    <s v="Junior Quicaño"/>
    <s v="Norma coordinará con Valdimir es por atm._x000a_Anexo 2 dice correctivo"/>
    <d v="2026-08-17T00:00:00"/>
    <d v="2026-11-18T00:00:00"/>
    <d v="2026-11-25T00:00:00"/>
    <d v="2027-01-26T00:00:00"/>
    <d v="2027-02-02T00:00:00"/>
    <d v="2027-02-09T00:00:00"/>
    <n v="176"/>
    <x v="1"/>
    <x v="0"/>
    <x v="1"/>
    <x v="9"/>
    <n v="3226"/>
  </r>
  <r>
    <s v="Devolución de fondos a cuentas de origen por Transferencias Interbancarias Inmediatas no abonadas en cuentas de destino"/>
    <n v="1"/>
    <n v="4"/>
    <s v="6 meses"/>
    <x v="4"/>
    <x v="1"/>
    <s v="SubGerencia de Captaciones y Pagaduria"/>
    <s v="Sistema de Pagos"/>
    <s v="MEMORANDO N° 00000179 - 2025-BN/3116"/>
    <x v="0"/>
    <x v="2"/>
    <x v="1"/>
    <s v="Soluciones Digitales"/>
    <s v="Mario Carbajo"/>
    <s v="Junior Quicaño"/>
    <s v="Intervien Novatronic._x000a_Es incidencia. Anexo 2 indica correctivo."/>
    <d v="2026-08-03T00:00:00"/>
    <d v="2027-03-15T00:00:00"/>
    <d v="2027-03-22T00:00:00"/>
    <d v="2027-06-02T00:00:00"/>
    <d v="2027-06-10T00:00:00"/>
    <d v="2027-06-17T00:00:00"/>
    <n v="318"/>
    <x v="1"/>
    <x v="0"/>
    <x v="1"/>
    <x v="14"/>
    <n v="3223"/>
  </r>
  <r>
    <s v="Creación de Un valor en la condición laboral de BDUC, para otorgar créditos cosumo e hipotecario a clientes CAS y adecuaciones al SACH"/>
    <n v="1"/>
    <n v="15"/>
    <s v="3 meses"/>
    <x v="2"/>
    <x v="2"/>
    <s v="Banca Personal"/>
    <s v="Banca Personal"/>
    <s v="No"/>
    <x v="0"/>
    <x v="2"/>
    <x v="2"/>
    <s v="Sistemas Bancarios"/>
    <s v="Norma Fukunaga / Johnny Rocca"/>
    <s v="Milagros Huamani"/>
    <s v="En el anexo 2 no describen las reglas de negocio definidas para los créditos de consumo Prestamos Multired y Tarjetas de Crédito."/>
    <m/>
    <s v=""/>
    <s v=""/>
    <s v=""/>
    <s v=""/>
    <s v=""/>
    <s v=""/>
    <x v="0"/>
    <x v="0"/>
    <x v="0"/>
    <x v="0"/>
    <s v="Revisar 3324"/>
  </r>
  <r>
    <s v="Corrección reporte 2A1 Plazo residual crédito hipotecario en patrimonio efectivo riesgo de crédito"/>
    <n v="1"/>
    <n v="12"/>
    <s v="2 meses"/>
    <x v="2"/>
    <x v="2"/>
    <s v="Banca Personal"/>
    <s v="Crédito Hipotecario"/>
    <s v="No"/>
    <x v="0"/>
    <x v="2"/>
    <x v="1"/>
    <s v="Sistemas Bancarios"/>
    <s v="Javier Urquiaga"/>
    <s v="Milagros Huamani"/>
    <m/>
    <d v="2026-08-03T00:00:00"/>
    <d v="2026-11-05T00:00:00"/>
    <d v="2026-11-12T00:00:00"/>
    <d v="2027-01-13T00:00:00"/>
    <d v="2027-01-20T00:00:00"/>
    <d v="2027-01-27T00:00:00"/>
    <n v="177"/>
    <x v="1"/>
    <x v="0"/>
    <x v="1"/>
    <x v="4"/>
    <s v="No está"/>
  </r>
  <r>
    <s v="Corrección en reporte de registros de notificación de los esquemas BN_SIMM y BN_SIMS para operaciones por transferencia interbancaria inmediata (línea y contacto)  través del canal Multired Virtual"/>
    <n v="1"/>
    <n v="1"/>
    <s v="1 mes"/>
    <x v="0"/>
    <x v="0"/>
    <s v="Canales Alternos"/>
    <s v="Canales Virtuales"/>
    <s v="MEMORANDO N° 00000120 - 2026-BN/3252"/>
    <x v="0"/>
    <x v="4"/>
    <x v="1"/>
    <s v="Soluciones Digitales"/>
    <s v="Mario Carbajo"/>
    <s v="Omar Sarmiento"/>
    <m/>
    <d v="2026-07-06T00:00:00"/>
    <d v="2026-08-21T00:00:00"/>
    <d v="2026-08-28T00:00:00"/>
    <d v="2026-10-12T00:00:00"/>
    <d v="2026-10-19T00:00:00"/>
    <d v="2026-10-26T00:00:00"/>
    <n v="112"/>
    <x v="1"/>
    <x v="0"/>
    <x v="1"/>
    <x v="15"/>
    <s v="No está"/>
  </r>
  <r>
    <s v="Control diario de saldos a nivel contable, operativo y del facturador por el cobro de comisiones por desembolso y recupero del servicio de locales compartidos IFIs."/>
    <n v="1"/>
    <n v="16"/>
    <s v="4 meses"/>
    <x v="1"/>
    <x v="1"/>
    <s v="Servicios Bancarios y Recaudación"/>
    <s v="Soporte Servicios Financieros"/>
    <s v="MEMORANDO N° 00000018 - 2026-BN/3241"/>
    <x v="0"/>
    <x v="2"/>
    <x v="1"/>
    <s v="Sistemas Bancarios"/>
    <s v="Adolfo Escobar"/>
    <s v="Junior Quicaño"/>
    <s v="Normativo: Falta sello."/>
    <d v="2026-08-03T00:00:00"/>
    <d v="2027-01-12T00:00:00"/>
    <d v="2027-01-19T00:00:00"/>
    <d v="2027-04-01T00:00:00"/>
    <d v="2027-04-08T00:00:00"/>
    <d v="2027-04-22T00:00:00"/>
    <n v="262"/>
    <x v="1"/>
    <x v="0"/>
    <x v="1"/>
    <x v="3"/>
    <n v="3237"/>
  </r>
  <r>
    <s v="Control de Cuentas habilitadas en Agencia o Canales Digitales"/>
    <n v="1"/>
    <n v="40"/>
    <s v="2 meses"/>
    <x v="2"/>
    <x v="1"/>
    <s v="SubGerencia de Captaciones y Pagaduria"/>
    <s v="Apertura de Cuentas"/>
    <s v="MEMORANDO N° 00000582 - 2025-BN/3111"/>
    <x v="0"/>
    <x v="0"/>
    <x v="1"/>
    <s v="Sistemas Bancarios"/>
    <s v="Johnny Rocca"/>
    <s v="Junior Quicaño"/>
    <m/>
    <d v="2027-09-06T00:00:00"/>
    <d v="2027-12-09T00:00:00"/>
    <d v="2027-12-20T00:00:00"/>
    <d v="2028-02-14T00:00:00"/>
    <d v="2028-02-21T00:00:00"/>
    <d v="2028-02-28T00:00:00"/>
    <n v="175"/>
    <x v="1"/>
    <x v="0"/>
    <x v="1"/>
    <x v="16"/>
    <n v="3151"/>
  </r>
  <r>
    <s v="Concurrente automático - BN Generación archivo maestro de Cheques"/>
    <n v="1"/>
    <n v="6"/>
    <s v="3 meses"/>
    <x v="2"/>
    <x v="3"/>
    <s v="Contabilidad"/>
    <s v="Pagos"/>
    <s v="MEMORANDO N° 00000009 - 2026-BN/6213"/>
    <x v="0"/>
    <x v="0"/>
    <x v="1"/>
    <s v="Sistemas Bancarios"/>
    <s v="Maribel Medina"/>
    <s v="Juan Carlos Zavaleta"/>
    <m/>
    <d v="2026-08-03T00:00:00"/>
    <d v="2026-11-05T00:00:00"/>
    <d v="2026-11-12T00:00:00"/>
    <d v="2027-01-13T00:00:00"/>
    <d v="2027-01-20T00:00:00"/>
    <d v="2027-01-27T00:00:00"/>
    <n v="177"/>
    <x v="1"/>
    <x v="0"/>
    <x v="1"/>
    <x v="4"/>
    <s v="No está"/>
  </r>
  <r>
    <s v="Compra en Terreno y Construcción en Terreno propio"/>
    <n v="1"/>
    <n v="8"/>
    <s v="6 meses"/>
    <x v="4"/>
    <x v="2"/>
    <s v="Banca Personal"/>
    <s v="Crédito Hipotecario"/>
    <s v="No"/>
    <x v="0"/>
    <x v="0"/>
    <x v="1"/>
    <s v="Sistemas Bancarios"/>
    <s v="Javier Urquiaga / Jhonny Rocca"/>
    <s v="Milagros Huamani"/>
    <m/>
    <d v="2026-07-06T00:00:00"/>
    <d v="2027-02-18T00:00:00"/>
    <d v="2027-02-25T00:00:00"/>
    <d v="2027-05-10T00:00:00"/>
    <d v="2027-05-17T00:00:00"/>
    <d v="2027-05-24T00:00:00"/>
    <n v="322"/>
    <x v="1"/>
    <x v="0"/>
    <x v="1"/>
    <x v="5"/>
    <s v="No está"/>
  </r>
  <r>
    <s v="Clientes No Aceptados por Actividad Económica en BDUC - Optimización del campo Actividad Económica"/>
    <n v="1"/>
    <n v="4"/>
    <s v="1 mes"/>
    <x v="0"/>
    <x v="7"/>
    <s v="OPLAFT"/>
    <s v="Prevención"/>
    <s v="MEMORANDO N° 00000043 - 2026-BN/1202"/>
    <x v="0"/>
    <x v="0"/>
    <x v="1"/>
    <s v="Sistemas Bancarios"/>
    <s v="Johnny Rocca"/>
    <s v="Juan Carlos Zavaleta"/>
    <s v="Tiene dependencia con vulnerabilidad por atender."/>
    <d v="2026-11-03T00:00:00"/>
    <d v="2026-12-17T00:00:00"/>
    <d v="2026-12-24T00:00:00"/>
    <d v="2027-02-08T00:00:00"/>
    <d v="2027-02-15T00:00:00"/>
    <d v="2027-02-22T00:00:00"/>
    <n v="111"/>
    <x v="1"/>
    <x v="0"/>
    <x v="1"/>
    <x v="9"/>
    <n v="3276"/>
  </r>
  <r>
    <s v="Checkbox para aceptacion de politica de datos personales en app"/>
    <n v="1"/>
    <n v="2"/>
    <s v="2 meses"/>
    <x v="2"/>
    <x v="0"/>
    <s v="Canales Alternos"/>
    <s v="Canales Virtuales"/>
    <s v="MEMORANDO N° 00000091 - 2026-BN/3252"/>
    <x v="0"/>
    <x v="3"/>
    <x v="1"/>
    <s v="Soluciones Digitales"/>
    <s v="Mario Carbajo"/>
    <s v="Omar Sarmiento"/>
    <s v=" "/>
    <d v="2026-07-01T00:00:00"/>
    <d v="2026-10-07T00:00:00"/>
    <d v="2026-10-15T00:00:00"/>
    <d v="2026-12-14T00:00:00"/>
    <d v="2026-12-21T00:00:00"/>
    <d v="2026-12-29T00:00:00"/>
    <n v="181"/>
    <x v="1"/>
    <x v="0"/>
    <x v="1"/>
    <x v="6"/>
    <s v="No está"/>
  </r>
  <r>
    <s v="CARGA DE VALIDACIONES BIOMÉTRICAS (SFTP - TOC) HACIA DATA LAKE DE FRAUDES"/>
    <n v="1"/>
    <n v="1"/>
    <s v="1 mes"/>
    <x v="0"/>
    <x v="0"/>
    <s v="Canales Alternos"/>
    <s v="Canales Virtuales"/>
    <s v="MEMORANDO N° 00000113 - 2026-BN/3252"/>
    <x v="0"/>
    <x v="0"/>
    <x v="1"/>
    <s v="Sistemas Bancarios"/>
    <s v="Luis Almeida / Denis Herrera"/>
    <s v="Omar Sarmiento"/>
    <m/>
    <d v="2026-05-25T00:00:00"/>
    <d v="2026-07-07T00:00:00"/>
    <d v="2026-07-14T00:00:00"/>
    <d v="2026-08-31T00:00:00"/>
    <d v="2026-09-07T00:00:00"/>
    <d v="2026-09-14T00:00:00"/>
    <n v="112"/>
    <x v="1"/>
    <x v="0"/>
    <x v="2"/>
    <x v="2"/>
    <n v="3368"/>
  </r>
  <r>
    <s v="Carga de activos fijos 100% depreciados"/>
    <n v="1"/>
    <n v="1"/>
    <s v="2 meses"/>
    <x v="2"/>
    <x v="6"/>
    <s v=" "/>
    <m/>
    <s v="MEMORANDO N° 00000060 - 2026-BN/2639"/>
    <x v="0"/>
    <x v="3"/>
    <x v="1"/>
    <s v="Sistemas Administrativos"/>
    <s v="Emerson Quecara"/>
    <s v="María Barboza"/>
    <m/>
    <d v="2026-08-01T00:00:00"/>
    <d v="2026-11-04T00:00:00"/>
    <d v="2026-11-11T00:00:00"/>
    <d v="2027-01-12T00:00:00"/>
    <d v="2027-01-19T00:00:00"/>
    <d v="2027-01-26T00:00:00"/>
    <n v="178"/>
    <x v="1"/>
    <x v="0"/>
    <x v="1"/>
    <x v="4"/>
    <s v="No está"/>
  </r>
  <r>
    <s v="Cambios en VAU para procesar Credit Voucher y Merchandise Return"/>
    <n v="1"/>
    <n v="8"/>
    <s v="4 meses "/>
    <x v="1"/>
    <x v="0"/>
    <s v="Canales Alternos"/>
    <s v="Canales Virtuales"/>
    <s v="MEMORANDO N° 00000091 - 2026-BN/3252"/>
    <x v="0"/>
    <x v="1"/>
    <x v="1"/>
    <s v="Sistemas Bancarios"/>
    <s v="Vladimir Cajavilca"/>
    <s v="Omar Sarmiento"/>
    <m/>
    <d v="2026-09-01T00:00:00"/>
    <d v="2027-02-09T00:00:00"/>
    <d v="2027-02-16T00:00:00"/>
    <d v="2027-04-29T00:00:00"/>
    <d v="2027-05-06T00:00:00"/>
    <d v="2027-05-20T00:00:00"/>
    <n v="261"/>
    <x v="1"/>
    <x v="0"/>
    <x v="1"/>
    <x v="5"/>
    <n v="3337"/>
  </r>
  <r>
    <s v="Cambios en políticas de Tarjeta de Crédito"/>
    <n v="1"/>
    <n v="17"/>
    <s v="3 meses"/>
    <x v="2"/>
    <x v="2"/>
    <s v="Banca Personal"/>
    <s v="Tarjeta de Crédito"/>
    <s v="No"/>
    <x v="0"/>
    <x v="3"/>
    <x v="1"/>
    <s v="Sistemas Bancarios"/>
    <s v="Waldo Basurto / Fiorella Galvan"/>
    <s v="Milagros Huamani"/>
    <m/>
    <d v="2026-11-02T00:00:00"/>
    <d v="2027-02-08T00:00:00"/>
    <d v="2027-02-15T00:00:00"/>
    <d v="2027-04-14T00:00:00"/>
    <d v="2027-04-21T00:00:00"/>
    <d v="2027-04-28T00:00:00"/>
    <n v="177"/>
    <x v="1"/>
    <x v="0"/>
    <x v="1"/>
    <x v="3"/>
    <s v="No está"/>
  </r>
  <r>
    <s v="Cambios en manejo del &quot;New Enabler Verification Value Field&quot;"/>
    <n v="1"/>
    <n v="10"/>
    <s v="4 meses"/>
    <x v="1"/>
    <x v="0"/>
    <s v="Canales Alternos"/>
    <s v="Canales Virtuales"/>
    <s v="MEMORANDO N° 00000091 - 2026-BN/3252"/>
    <x v="0"/>
    <x v="1"/>
    <x v="1"/>
    <s v="Sistemas Bancarios"/>
    <s v="Vladimir Cajavilca"/>
    <s v="Omar Sarmiento"/>
    <s v=" "/>
    <d v="2026-10-01T00:00:00"/>
    <d v="2027-03-11T00:00:00"/>
    <d v="2027-03-18T00:00:00"/>
    <d v="2027-05-31T00:00:00"/>
    <d v="2027-06-08T00:00:00"/>
    <d v="2027-06-22T00:00:00"/>
    <n v="264"/>
    <x v="1"/>
    <x v="0"/>
    <x v="1"/>
    <x v="14"/>
    <n v="3344"/>
  </r>
  <r>
    <s v="Cambios en la configuración del tamaño máximo de archivo base II"/>
    <n v="1"/>
    <n v="1"/>
    <s v="3 meses"/>
    <x v="2"/>
    <x v="0"/>
    <s v="Canales Alternos"/>
    <s v="Canales Virtuales"/>
    <s v="MEMORANDO N° 00000012 - 2026-BN/3252"/>
    <x v="0"/>
    <x v="1"/>
    <x v="1"/>
    <s v="Sistemas Bancarios"/>
    <s v="Vladimir Cajavilca"/>
    <s v="Omar Sarmiento"/>
    <s v="22/05/2026 En reunión con el área usuaria se informó que el anexo referenciado debe ser actualizado y dividido_x000a__x000a_No tiene definido Orden de Atención - Pendiente de Evaluación del  Usuario."/>
    <d v="2026-08-04T00:00:00"/>
    <d v="2026-11-06T00:00:00"/>
    <d v="2026-11-13T00:00:00"/>
    <d v="2027-01-14T00:00:00"/>
    <d v="2027-01-21T00:00:00"/>
    <d v="2027-01-28T00:00:00"/>
    <n v="177"/>
    <x v="1"/>
    <x v="0"/>
    <x v="1"/>
    <x v="4"/>
    <n v="3184"/>
  </r>
  <r>
    <s v="Cambio de plataforma izipay pasarela de pagos"/>
    <n v="1"/>
    <s v="Por definir"/>
    <m/>
    <x v="3"/>
    <x v="0"/>
    <s v="Canales Alternos"/>
    <s v="Canales Virtuales"/>
    <s v="MEMORANDO N° 00000118 - 2026-BN/3252"/>
    <x v="0"/>
    <x v="0"/>
    <x v="0"/>
    <s v="Sistemas Bancarios"/>
    <m/>
    <s v="Omar Sarmiento"/>
    <m/>
    <m/>
    <s v=""/>
    <s v=""/>
    <s v=""/>
    <s v=""/>
    <s v=""/>
    <s v=""/>
    <x v="0"/>
    <x v="0"/>
    <x v="0"/>
    <x v="0"/>
    <s v="No está"/>
  </r>
  <r>
    <s v="Bloqueo de Tarjetas de Crédito por sobreendeudamiento."/>
    <n v="1"/>
    <n v="2"/>
    <s v="4 meses"/>
    <x v="1"/>
    <x v="4"/>
    <s v="Riesgos Crediticios y Financieros"/>
    <s v="Evaluación de Cartera de Créditos"/>
    <s v="Memorando 008-2026-BN/219"/>
    <x v="0"/>
    <x v="2"/>
    <x v="1"/>
    <s v="Sistemas Bancarios"/>
    <s v="Fiorella Galván"/>
    <s v="María Barboza"/>
    <m/>
    <d v="2026-09-07T00:00:00"/>
    <d v="2027-02-15T00:00:00"/>
    <d v="2027-02-22T00:00:00"/>
    <d v="2027-05-05T00:00:00"/>
    <d v="2027-05-12T00:00:00"/>
    <d v="2027-05-26T00:00:00"/>
    <n v="261"/>
    <x v="1"/>
    <x v="0"/>
    <x v="1"/>
    <x v="5"/>
    <s v="No está"/>
  </r>
  <r>
    <s v="Automatización Proceso Retroalimentación de Alertamiento AS VF"/>
    <n v="1"/>
    <n v="4"/>
    <s v="9 meses"/>
    <x v="5"/>
    <x v="4"/>
    <s v="Prevención del Fraude"/>
    <s v="Monitoreo y Respuesta"/>
    <s v="MEMORANDO N° 00000008 - 2026-BN/2212"/>
    <x v="0"/>
    <x v="3"/>
    <x v="1"/>
    <s v="Sistemas Administrativos"/>
    <s v="David Coca"/>
    <s v="María Barboza"/>
    <m/>
    <d v="2026-11-01T00:00:00"/>
    <d v="2027-07-15T00:00:00"/>
    <d v="2027-07-22T00:00:00"/>
    <d v="2027-10-07T00:00:00"/>
    <d v="2027-10-15T00:00:00"/>
    <d v="2027-10-22T00:00:00"/>
    <n v="355"/>
    <x v="1"/>
    <x v="0"/>
    <x v="1"/>
    <x v="17"/>
    <s v="No está"/>
  </r>
  <r>
    <s v="Automatizacion de Registro de Gastos Judiciales/procesales para prestamos multired, tarjeta de crédito y créditos hipotecarios"/>
    <n v="1"/>
    <n v="11"/>
    <s v="6 meses"/>
    <x v="4"/>
    <x v="1"/>
    <s v="Servicios Bancarios y Recaudación"/>
    <s v="Soporte Servicios Financieros"/>
    <s v="MEMORANDO N° 00000014 - 2026-BN/3241"/>
    <x v="0"/>
    <x v="2"/>
    <x v="1"/>
    <s v="Sistemas Bancarios"/>
    <s v="Fiorella Galván / Javier Urquiaga"/>
    <s v="Junior Quicaño"/>
    <s v="El requerimiento debe ser dividido porque corresponde a  tres aplicaciones diferentes - PRAH /SITC/CRHP._x000a_Normativo: Falta sello."/>
    <d v="2026-08-17T00:00:00"/>
    <d v="2027-03-30T00:00:00"/>
    <d v="2027-04-06T00:00:00"/>
    <d v="2027-06-16T00:00:00"/>
    <d v="2027-06-23T00:00:00"/>
    <d v="2027-06-30T00:00:00"/>
    <n v="317"/>
    <x v="1"/>
    <x v="0"/>
    <x v="1"/>
    <x v="14"/>
    <n v="3233"/>
  </r>
  <r>
    <s v="Aumentar el monto máximo de desembolso de préstamos para los trabajadores mayores de 60 años, hasta S/60 mil"/>
    <n v="1"/>
    <n v="1"/>
    <s v="2 meses"/>
    <x v="2"/>
    <x v="2"/>
    <s v="Banca Personal"/>
    <s v="Préstamo Multired"/>
    <s v="No"/>
    <x v="0"/>
    <x v="0"/>
    <x v="1"/>
    <s v="Sistemas Bancarios"/>
    <s v="Fiorella Galván"/>
    <s v="Milagros Huamani"/>
    <m/>
    <d v="2026-07-15T00:00:00"/>
    <d v="2026-10-22T00:00:00"/>
    <d v="2026-10-29T00:00:00"/>
    <d v="2026-12-29T00:00:00"/>
    <d v="2027-01-06T00:00:00"/>
    <d v="2027-01-13T00:00:00"/>
    <n v="182"/>
    <x v="1"/>
    <x v="0"/>
    <x v="1"/>
    <x v="4"/>
    <s v="No está"/>
  </r>
  <r>
    <s v="Atender  campos  62.4 - Tag 83  cambios para admitir la Autorización Extendida"/>
    <n v="1"/>
    <n v="8"/>
    <s v="3 meses"/>
    <x v="2"/>
    <x v="0"/>
    <s v="Canales Alternos"/>
    <s v="Canales Virtuales"/>
    <s v="MEMORANDO N° 00000091 - 2026-BN/3252"/>
    <x v="0"/>
    <x v="1"/>
    <x v="1"/>
    <s v="Sistemas Bancarios"/>
    <s v="Vladimir Cajavilca"/>
    <s v="Omar Sarmiento"/>
    <s v="La estimacion es realizada mediante el correo de maribel del viernes 15/05/2026 17:19_x000a_22/05/2026 En reunión con el área usuaria se informó que el anexo referenciado debe ser actualizado y dividido_x000a__x000a_Tenía fecha de inicio 22/09/2026 pero no tiene anexo"/>
    <d v="2026-09-22T00:00:00"/>
    <d v="2026-12-29T00:00:00"/>
    <d v="2027-01-06T00:00:00"/>
    <d v="2027-03-03T00:00:00"/>
    <d v="2027-03-10T00:00:00"/>
    <d v="2027-03-17T00:00:00"/>
    <n v="176"/>
    <x v="1"/>
    <x v="0"/>
    <x v="1"/>
    <x v="1"/>
    <n v="3339"/>
  </r>
  <r>
    <s v="Atender  campos  54, verificar el saldo de la cuenta anetes de solicitar la aprobacion"/>
    <n v="1"/>
    <n v="12"/>
    <s v="3 meses"/>
    <x v="2"/>
    <x v="0"/>
    <s v="Canales Alternos"/>
    <s v="Canales Virtuales"/>
    <s v="MEMORANDO N° 00000091 - 2026-BN/3252"/>
    <x v="0"/>
    <x v="1"/>
    <x v="1"/>
    <s v="Sistemas Bancarios"/>
    <s v="Vladimir Cajavilca"/>
    <s v="Omar Sarmiento"/>
    <s v="La estimacion es realizada mediante el correo de maribel del viernes 15/05/2026 17:19_x000a_22/05/2026 En reunión con el área usuaria se informó que el anexo referenciado debe ser actualizado y dividido_x000a__x000a_Tenía fecha de inicio 20/10/2026 pero no tiene anexo"/>
    <d v="2026-10-20T00:00:00"/>
    <d v="2027-01-26T00:00:00"/>
    <d v="2027-02-02T00:00:00"/>
    <d v="2027-04-01T00:00:00"/>
    <d v="2027-04-08T00:00:00"/>
    <d v="2027-04-15T00:00:00"/>
    <n v="177"/>
    <x v="1"/>
    <x v="0"/>
    <x v="1"/>
    <x v="3"/>
    <n v="3346"/>
  </r>
  <r>
    <s v="Atender  campos  126.18 Clearing field 104  Visa implementará cambios para soportar la nueva Verificación Habilitadora"/>
    <n v="1"/>
    <n v="10"/>
    <s v="3 meses"/>
    <x v="2"/>
    <x v="0"/>
    <s v="Canales Alternos"/>
    <s v="Canales Virtuales"/>
    <s v="MEMORANDO N° 00000091 - 2026-BN/3252"/>
    <x v="0"/>
    <x v="1"/>
    <x v="1"/>
    <s v="Sistemas Bancarios"/>
    <s v="Vladimir Cajavilca"/>
    <s v="Omar Sarmiento"/>
    <s v="La estimacion es realizada mediante el correo de maribel del viernes 15/05/2026 17:19_x000a_22/05/2026 En reunión con el área usuaria se informó que el anexo referenciado debe ser actualizado y dividido_x000a__x000a_Tenía fecha de inicio 20/10/2026 pero no tiene anexo"/>
    <d v="2026-10-20T00:00:00"/>
    <d v="2027-01-26T00:00:00"/>
    <d v="2027-02-02T00:00:00"/>
    <d v="2027-04-01T00:00:00"/>
    <d v="2027-04-08T00:00:00"/>
    <d v="2027-04-15T00:00:00"/>
    <n v="177"/>
    <x v="1"/>
    <x v="0"/>
    <x v="1"/>
    <x v="3"/>
    <n v="3343"/>
  </r>
  <r>
    <s v="Ampliación a BIN ó digital"/>
    <n v="1"/>
    <n v="8"/>
    <s v="3 meses"/>
    <x v="2"/>
    <x v="0"/>
    <s v="Canales Alternos"/>
    <s v="Canales Virtuales"/>
    <s v="MEMORANDO N° 00000091 - 2026-BN/3252"/>
    <x v="0"/>
    <x v="1"/>
    <x v="1"/>
    <s v="Sistemas Bancarios"/>
    <s v="Vladimir Cajavilca"/>
    <s v="Omar Sarmiento"/>
    <s v="La estimacion es realizada mediante el correo de maribel del viernes 15/05/2026 17:19_x000a_22/05/2026 En reunión con el área usuaria se informó que el anexo referenciado debe ser actualizado y dividido_x000a__x000a_Pendiente de Evaluación del Usuario"/>
    <d v="2026-09-15T00:00:00"/>
    <d v="2026-12-21T00:00:00"/>
    <d v="2026-12-29T00:00:00"/>
    <d v="2027-02-24T00:00:00"/>
    <d v="2027-03-03T00:00:00"/>
    <d v="2027-03-10T00:00:00"/>
    <n v="176"/>
    <x v="1"/>
    <x v="0"/>
    <x v="1"/>
    <x v="1"/>
    <n v="3341"/>
  </r>
  <r>
    <s v="Adición de las comisiones generadas por emision, anulacion y pagos por facturación electrónica"/>
    <n v="1"/>
    <n v="10"/>
    <s v="3 meses"/>
    <x v="2"/>
    <x v="1"/>
    <s v="Servicios Bancarios y Recaudación"/>
    <s v="Soporte Servicios Financieros"/>
    <s v="MEMORANDO N° 00000015 - 2026-BN/3241"/>
    <x v="0"/>
    <x v="2"/>
    <x v="1"/>
    <s v="Sistemas Bancarios"/>
    <s v="Waldo Basurto"/>
    <s v="Junior Quicaño"/>
    <s v="_x000a_Anexo 2 dice evolutivo."/>
    <d v="2026-08-17T00:00:00"/>
    <d v="2026-11-18T00:00:00"/>
    <d v="2026-11-25T00:00:00"/>
    <d v="2027-01-26T00:00:00"/>
    <d v="2027-02-02T00:00:00"/>
    <d v="2027-02-09T00:00:00"/>
    <n v="176"/>
    <x v="1"/>
    <x v="0"/>
    <x v="1"/>
    <x v="9"/>
    <n v="3232"/>
  </r>
  <r>
    <s v="Adicion de campos en tx de Cheque de Gerencia(SARAWEB) para el cumplimiento de la facturación electrónica"/>
    <n v="1"/>
    <n v="12"/>
    <s v="2 meses"/>
    <x v="2"/>
    <x v="1"/>
    <s v="Servicios Bancarios y Recaudación"/>
    <s v="Soporte Servicios Financieros"/>
    <s v="MEMORANDO N° 00000027 - 2026-BN/3241"/>
    <x v="0"/>
    <x v="2"/>
    <x v="1"/>
    <s v="Sistemas Bancarios"/>
    <s v="Waldo Basurto"/>
    <s v="Junior Quicaño"/>
    <m/>
    <d v="2026-08-17T00:00:00"/>
    <d v="2026-11-18T00:00:00"/>
    <d v="2026-11-25T00:00:00"/>
    <d v="2027-01-26T00:00:00"/>
    <d v="2027-02-02T00:00:00"/>
    <d v="2027-02-09T00:00:00"/>
    <n v="176"/>
    <x v="1"/>
    <x v="0"/>
    <x v="1"/>
    <x v="9"/>
    <n v="3234"/>
  </r>
  <r>
    <s v="Adecuaciones y Reportes Consolidación de Deuda de Préstamo Multired"/>
    <n v="1"/>
    <n v="6"/>
    <s v="2 meses"/>
    <x v="2"/>
    <x v="2"/>
    <s v="Banca Personal"/>
    <s v="Préstamo Multired"/>
    <s v="No"/>
    <x v="0"/>
    <x v="0"/>
    <x v="1"/>
    <s v="Sistemas Bancarios"/>
    <s v="Fiorella Galván"/>
    <s v="Milagros Huamani"/>
    <m/>
    <d v="2026-07-15T00:00:00"/>
    <d v="2026-10-22T00:00:00"/>
    <d v="2026-10-29T00:00:00"/>
    <d v="2026-12-29T00:00:00"/>
    <d v="2027-01-06T00:00:00"/>
    <d v="2027-01-13T00:00:00"/>
    <n v="182"/>
    <x v="1"/>
    <x v="0"/>
    <x v="1"/>
    <x v="4"/>
    <s v="No está"/>
  </r>
  <r>
    <s v="Adecuaciones Préstamos Multired a CAS Indeterminado"/>
    <n v="1"/>
    <n v="3"/>
    <s v="2 meses"/>
    <x v="2"/>
    <x v="2"/>
    <s v="Banca Personal"/>
    <s v="Préstamo Multired"/>
    <s v="No"/>
    <x v="0"/>
    <x v="0"/>
    <x v="1"/>
    <s v="Sistemas Bancarios"/>
    <s v="Fiorella Galván"/>
    <s v="Milagros Huamani"/>
    <m/>
    <d v="2026-07-15T00:00:00"/>
    <d v="2026-10-22T00:00:00"/>
    <d v="2026-10-29T00:00:00"/>
    <d v="2026-12-29T00:00:00"/>
    <d v="2027-01-06T00:00:00"/>
    <d v="2027-01-13T00:00:00"/>
    <n v="182"/>
    <x v="1"/>
    <x v="0"/>
    <x v="1"/>
    <x v="4"/>
    <s v="No está"/>
  </r>
  <r>
    <s v="Adecuación del no cobro de comisión por reposición de Tarjeta de Débito por bloqueos de fraude"/>
    <n v="1"/>
    <n v="14"/>
    <s v="3 meses"/>
    <x v="2"/>
    <x v="0"/>
    <s v="Canales Alternos"/>
    <s v="Canales Virtuales"/>
    <s v="MEMORANDO N° 00000091 - 2026-BN/3252"/>
    <x v="0"/>
    <x v="2"/>
    <x v="1"/>
    <s v="Sistemas Bancarios"/>
    <s v="Norma Fukunaga"/>
    <s v="Omar Sarmiento"/>
    <m/>
    <d v="2026-10-06T00:00:00"/>
    <d v="2027-01-13T00:00:00"/>
    <d v="2027-01-20T00:00:00"/>
    <d v="2027-03-17T00:00:00"/>
    <d v="2027-03-24T00:00:00"/>
    <d v="2027-04-02T00:00:00"/>
    <n v="178"/>
    <x v="1"/>
    <x v="0"/>
    <x v="1"/>
    <x v="1"/>
    <n v="3347"/>
  </r>
  <r>
    <s v="Adecuacion a la transaccion de reposicion de tarjeta en el Saraweb para el no cobro de comision en casos de cierre masivo por fraudes o retencion por errores no atribuibles a clientes."/>
    <n v="1"/>
    <n v="8"/>
    <s v="3 meses"/>
    <x v="2"/>
    <x v="0"/>
    <s v="Canales Alternos"/>
    <s v="Canales Virtuales"/>
    <s v="MEMORANDO N° 00000091 - 2026-BN/3252"/>
    <x v="0"/>
    <x v="2"/>
    <x v="1"/>
    <s v="Sistemas Bancarios"/>
    <s v="Norma Fukunaga"/>
    <s v="Omar Sarmiento"/>
    <m/>
    <d v="2026-09-01T00:00:00"/>
    <d v="2026-12-03T00:00:00"/>
    <d v="2026-12-14T00:00:00"/>
    <d v="2027-02-10T00:00:00"/>
    <d v="2027-02-17T00:00:00"/>
    <d v="2027-02-24T00:00:00"/>
    <n v="176"/>
    <x v="1"/>
    <x v="0"/>
    <x v="1"/>
    <x v="9"/>
    <n v="3342"/>
  </r>
  <r>
    <s v="Actualización del Portal de Información:_x000a_• SBS-RRCC - Consolidado de Rectificaciones"/>
    <n v="1"/>
    <n v="5"/>
    <s v="2 meses"/>
    <x v="2"/>
    <x v="3"/>
    <s v="Contabilidad"/>
    <s v="Estados Financieros e Informes Contables"/>
    <s v="MEMORANDO N° 00000005 -2026-BN/6214"/>
    <x v="0"/>
    <x v="3"/>
    <x v="1"/>
    <s v="Sistemas Administrativos"/>
    <s v="Paul Alminagorta"/>
    <s v="Juan Carlos Zavaleta"/>
    <s v="Depende de req: 2025-M0765 Pospuesto por recursos"/>
    <d v="2026-10-01T00:00:00"/>
    <d v="2027-01-08T00:00:00"/>
    <d v="2027-01-15T00:00:00"/>
    <d v="2027-03-12T00:00:00"/>
    <d v="2027-03-19T00:00:00"/>
    <d v="2027-03-30T00:00:00"/>
    <n v="180"/>
    <x v="1"/>
    <x v="0"/>
    <x v="1"/>
    <x v="1"/>
    <n v="3370"/>
  </r>
  <r>
    <s v="Actualización del aplicativo SIAT (Sistema de Administración de Tarjeta), a fin de poder atender los reclamos de los cliente y cumplir con la Resolución 6253 - SBS"/>
    <n v="1"/>
    <n v="16"/>
    <s v="3 meses"/>
    <x v="2"/>
    <x v="0"/>
    <s v="Canales Alternos"/>
    <s v="Canales Virtuales"/>
    <s v="MEMORANDO N° 00000091 - 2026-BN/3252"/>
    <x v="0"/>
    <x v="3"/>
    <x v="1"/>
    <s v="Soluciones Digitales"/>
    <s v="Mario Carbajo"/>
    <s v="Omar Sarmiento"/>
    <s v="Falta la firma de Cumplimiento Normativo "/>
    <d v="2026-08-01T00:00:00"/>
    <d v="2026-11-04T00:00:00"/>
    <d v="2026-11-11T00:00:00"/>
    <d v="2027-01-12T00:00:00"/>
    <d v="2027-01-19T00:00:00"/>
    <d v="2027-01-26T00:00:00"/>
    <n v="178"/>
    <x v="1"/>
    <x v="0"/>
    <x v="1"/>
    <x v="4"/>
    <n v="3348"/>
  </r>
  <r>
    <s v="Actualización Campo Centro de Labores Tx 1115 en Saraweb y BDUC"/>
    <n v="1"/>
    <n v="6"/>
    <s v="3 meses"/>
    <x v="2"/>
    <x v="7"/>
    <s v="OPLAFT"/>
    <s v="Prevención"/>
    <s v="MEMORANDO N° 00000013 - 2026-BN/1202"/>
    <x v="0"/>
    <x v="0"/>
    <x v="1"/>
    <s v="Sistemas Bancarios"/>
    <s v="Johnny Rocca"/>
    <s v="Juan Carlos Zavaleta"/>
    <m/>
    <d v="2026-12-01T00:00:00"/>
    <d v="2027-03-09T00:00:00"/>
    <d v="2027-03-16T00:00:00"/>
    <d v="2027-05-13T00:00:00"/>
    <d v="2027-05-20T00:00:00"/>
    <d v="2027-05-27T00:00:00"/>
    <n v="177"/>
    <x v="1"/>
    <x v="0"/>
    <x v="1"/>
    <x v="5"/>
    <n v="3209"/>
  </r>
  <r>
    <s v="Aceptar autorizaciones parciales en línea y aceptar autenticaciones digitales para operaciones con tarjeta no presente"/>
    <n v="1"/>
    <n v="6"/>
    <m/>
    <x v="3"/>
    <x v="0"/>
    <s v="Canales Alternos"/>
    <s v="Canales Virtuales"/>
    <m/>
    <x v="1"/>
    <x v="5"/>
    <x v="2"/>
    <s v="Sistemas Bancarios"/>
    <s v="Vladimir Cajavilca"/>
    <s v="Omar Sarmiento"/>
    <s v="No tiene Anexo 2"/>
    <m/>
    <s v=""/>
    <s v=""/>
    <s v=""/>
    <s v=""/>
    <s v=""/>
    <s v=""/>
    <x v="0"/>
    <x v="0"/>
    <x v="0"/>
    <x v="0"/>
    <s v="Revisar 1326"/>
  </r>
  <r>
    <s v="Aceptacion de notificaciones en el app"/>
    <n v="1"/>
    <n v="4"/>
    <s v="2 meses"/>
    <x v="2"/>
    <x v="0"/>
    <s v="Canales Alternos"/>
    <s v="Canales Virtuales"/>
    <s v="MEMORANDO N° 00000091 - 2026-BN/3252"/>
    <x v="0"/>
    <x v="3"/>
    <x v="1"/>
    <s v="Soluciones Digitales"/>
    <s v="Mario Carbajo"/>
    <s v="Omar Sarmiento"/>
    <m/>
    <d v="2026-07-01T00:00:00"/>
    <d v="2026-10-07T00:00:00"/>
    <d v="2026-10-15T00:00:00"/>
    <d v="2026-12-14T00:00:00"/>
    <d v="2026-12-21T00:00:00"/>
    <d v="2026-12-29T00:00:00"/>
    <n v="181"/>
    <x v="1"/>
    <x v="0"/>
    <x v="1"/>
    <x v="6"/>
    <s v="No está"/>
  </r>
  <r>
    <s v="Aceptación campo 34 para DAF"/>
    <n v="1"/>
    <n v="6"/>
    <s v="4 meses"/>
    <x v="1"/>
    <x v="0"/>
    <s v="Canales Alternos"/>
    <s v="Canales Virtuales"/>
    <s v="MEMORANDO N° 00000036 - 2026-BN/3252"/>
    <x v="0"/>
    <x v="1"/>
    <x v="1"/>
    <s v="Sistemas Bancarios"/>
    <s v="Vladimir Cajavilca"/>
    <s v="Omar Sarmiento"/>
    <s v="Backlog  ID 3189"/>
    <d v="2026-06-01T00:00:00"/>
    <d v="2026-11-10T00:00:00"/>
    <d v="2026-11-17T00:00:00"/>
    <d v="2027-02-01T00:00:00"/>
    <d v="2027-02-08T00:00:00"/>
    <d v="2027-02-22T00:00:00"/>
    <n v="266"/>
    <x v="1"/>
    <x v="0"/>
    <x v="2"/>
    <x v="9"/>
    <s v="No está"/>
  </r>
  <r>
    <s v=" SARE Internet"/>
    <n v="1"/>
    <n v="3"/>
    <s v="3 meses"/>
    <x v="2"/>
    <x v="8"/>
    <s v="Atención de Reclamos"/>
    <m/>
    <s v="MEMORANDO N° 00000054 - 2026-BN/7840"/>
    <x v="0"/>
    <x v="3"/>
    <x v="1"/>
    <s v="Sistemas Administrativos"/>
    <s v="Evelin  Ribbeck"/>
    <s v="María Barboza"/>
    <m/>
    <d v="2026-11-01T00:00:00"/>
    <d v="2027-02-05T00:00:00"/>
    <d v="2027-02-12T00:00:00"/>
    <d v="2027-04-13T00:00:00"/>
    <d v="2027-04-20T00:00:00"/>
    <d v="2027-04-27T00:00:00"/>
    <n v="177"/>
    <x v="1"/>
    <x v="0"/>
    <x v="1"/>
    <x v="3"/>
    <s v="No está"/>
  </r>
  <r>
    <s v=" Actualización de las comisiones del servicio de recaudación por canal. "/>
    <n v="1"/>
    <n v="36"/>
    <s v="No definido"/>
    <x v="3"/>
    <x v="1"/>
    <s v="Servicios Bancarios y Recaudación"/>
    <s v="Recaudación y Corresponsalía"/>
    <s v="MEMORANDO N° 00000023 - 2026-BN/3243"/>
    <x v="0"/>
    <x v="0"/>
    <x v="3"/>
    <s v="Sistemas Bancarios"/>
    <s v="Jorge Rueda"/>
    <s v="Junior Quicaño"/>
    <s v="El área usuaria debe de elaborar un Modelo de Negocio y tendría que ser inscrito como proyecto._x000a_Se acordó devolver el memorando para que remitan el modelo de Negocio."/>
    <m/>
    <s v=""/>
    <s v=""/>
    <s v=""/>
    <s v=""/>
    <s v=""/>
    <s v=""/>
    <x v="0"/>
    <x v="1"/>
    <x v="0"/>
    <x v="0"/>
    <n v="3243"/>
  </r>
  <r>
    <s v="Cobro de pagos parciales y prelación por antiguedad para créditos por vencer o vencidos del producto Préstamos Multired - 1"/>
    <n v="1"/>
    <m/>
    <m/>
    <x v="3"/>
    <x v="4"/>
    <s v="Cobranzas y recuperaciones"/>
    <s v="Canales y negociación"/>
    <s v="MEMORANDO N° 00000014 - 2026-BN/2222"/>
    <x v="0"/>
    <x v="2"/>
    <x v="0"/>
    <m/>
    <m/>
    <s v="María Barboza"/>
    <m/>
    <m/>
    <s v=""/>
    <s v=""/>
    <s v=""/>
    <s v=""/>
    <s v=""/>
    <s v=""/>
    <x v="0"/>
    <x v="0"/>
    <x v="0"/>
    <x v="0"/>
    <s v="No está"/>
  </r>
  <r>
    <s v="Cobro de pagos parciales y prelación por antiguedad para créditos por vencer o vencidos del producto Préstamos Multired - 2"/>
    <n v="1"/>
    <m/>
    <m/>
    <x v="3"/>
    <x v="4"/>
    <s v="Cobranzas y recuperaciones"/>
    <s v="Canales y negociación"/>
    <s v="MEMORANDO N° 00000013 - 2026-BN/2222"/>
    <x v="0"/>
    <x v="2"/>
    <x v="0"/>
    <m/>
    <m/>
    <s v="María Barboza"/>
    <m/>
    <m/>
    <s v=""/>
    <s v=""/>
    <s v=""/>
    <s v=""/>
    <s v=""/>
    <s v=""/>
    <x v="0"/>
    <x v="0"/>
    <x v="0"/>
    <x v="0"/>
    <s v="No está"/>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D17432-26E1-45B0-90CF-2FA8FA9EF410}" name="TablaDinámica1" cacheId="13"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A61:G73" firstHeaderRow="1" firstDataRow="3" firstDataCol="1"/>
  <pivotFields count="28">
    <pivotField dataField="1" compact="0" outline="0" showAll="0" defaultSubtotal="0"/>
    <pivotField compact="0" outline="0" showAll="0" defaultSubtotal="0"/>
    <pivotField compact="0" outline="0" subtotalTop="0" showAll="0" defaultSubtotal="0"/>
    <pivotField compact="0" outline="0" showAll="0" defaultSubtotal="0"/>
    <pivotField compact="0" outline="0" multipleItemSelectionAllowed="1" showAll="0" defaultSubtotal="0"/>
    <pivotField axis="axisRow" compact="0" outline="0" showAll="0" sortType="descending" defaultSubtotal="0">
      <items count="16">
        <item m="1" x="9"/>
        <item x="0"/>
        <item m="1" x="14"/>
        <item x="3"/>
        <item m="1" x="15"/>
        <item m="1" x="13"/>
        <item x="1"/>
        <item x="7"/>
        <item x="2"/>
        <item m="1" x="11"/>
        <item x="5"/>
        <item x="4"/>
        <item m="1" x="12"/>
        <item m="1" x="10"/>
        <item x="8"/>
        <item x="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name="Tiene Anexo 2 ¿?" axis="axisCol" compact="0" outline="0" showAll="0" defaultSubtotal="0">
      <items count="5">
        <item m="1" x="3"/>
        <item x="1"/>
        <item m="1" x="4"/>
        <item m="1" x="2"/>
        <item x="0"/>
      </items>
    </pivotField>
    <pivotField compact="0" outline="0" showAll="0" defaultSubtotal="0"/>
    <pivotField axis="axisCol" compact="0" outline="0" subtotalTop="0" showAll="0" defaultSubtotal="0">
      <items count="6">
        <item x="2"/>
        <item x="1"/>
        <item x="0"/>
        <item m="1" x="5"/>
        <item x="3"/>
        <item m="1" x="4"/>
      </items>
    </pivotField>
    <pivotField compact="0" outline="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5"/>
  </rowFields>
  <rowItems count="10">
    <i>
      <x v="1"/>
    </i>
    <i>
      <x v="6"/>
    </i>
    <i>
      <x v="8"/>
    </i>
    <i>
      <x v="11"/>
    </i>
    <i>
      <x v="3"/>
    </i>
    <i>
      <x v="15"/>
    </i>
    <i>
      <x v="7"/>
    </i>
    <i>
      <x v="10"/>
    </i>
    <i>
      <x v="14"/>
    </i>
    <i t="grand">
      <x/>
    </i>
  </rowItems>
  <colFields count="2">
    <field x="9"/>
    <field x="11"/>
  </colFields>
  <colItems count="6">
    <i>
      <x v="1"/>
      <x/>
    </i>
    <i>
      <x v="4"/>
      <x/>
    </i>
    <i r="1">
      <x v="1"/>
    </i>
    <i r="1">
      <x v="2"/>
    </i>
    <i r="1">
      <x v="4"/>
    </i>
    <i t="grand">
      <x/>
    </i>
  </colItems>
  <dataFields count="1">
    <dataField name="Tabla 1 - Requerimientos que cuentan con anexo 2 por gerencias" fld="0" subtotal="count" baseField="0" baseItem="0"/>
  </dataFields>
  <formats count="8">
    <format dxfId="109">
      <pivotArea outline="0" collapsedLevelsAreSubtotals="1" fieldPosition="0"/>
    </format>
    <format dxfId="108">
      <pivotArea dataOnly="0" labelOnly="1" grandCol="1" outline="0" fieldPosition="0"/>
    </format>
    <format dxfId="107">
      <pivotArea dataOnly="0" labelOnly="1" outline="0" fieldPosition="0">
        <references count="2">
          <reference field="9" count="1" selected="0">
            <x v="1"/>
          </reference>
          <reference field="11" count="1">
            <x v="0"/>
          </reference>
        </references>
      </pivotArea>
    </format>
    <format dxfId="106">
      <pivotArea dataOnly="0" labelOnly="1" outline="0" fieldPosition="0">
        <references count="2">
          <reference field="9" count="1" selected="0">
            <x v="4"/>
          </reference>
          <reference field="11" count="0"/>
        </references>
      </pivotArea>
    </format>
    <format dxfId="105">
      <pivotArea outline="0" collapsedLevelsAreSubtotals="1" fieldPosition="0"/>
    </format>
    <format dxfId="104">
      <pivotArea dataOnly="0" labelOnly="1" grandCol="1" outline="0" fieldPosition="0"/>
    </format>
    <format dxfId="103">
      <pivotArea dataOnly="0" labelOnly="1" outline="0" fieldPosition="0">
        <references count="2">
          <reference field="9" count="1" selected="0">
            <x v="1"/>
          </reference>
          <reference field="11" count="1">
            <x v="0"/>
          </reference>
        </references>
      </pivotArea>
    </format>
    <format dxfId="102">
      <pivotArea dataOnly="0" labelOnly="1" outline="0" fieldPosition="0">
        <references count="2">
          <reference field="9" count="1" selected="0">
            <x v="4"/>
          </reference>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TablaDinámica3" cacheId="13"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G3:N14" firstHeaderRow="1" firstDataRow="2" firstDataCol="1"/>
  <pivotFields count="28">
    <pivotField dataField="1" compact="0" outline="0" showAll="0" defaultSubtotal="0"/>
    <pivotField compact="0" outline="0" showAll="0" defaultSubtotal="0"/>
    <pivotField compact="0" outline="0" subtotalTop="0" showAll="0" defaultSubtotal="0"/>
    <pivotField compact="0" outline="0" showAll="0" defaultSubtotal="0"/>
    <pivotField compact="0" outline="0" multipleItemSelectionAllowed="1" showAll="0" defaultSubtotal="0"/>
    <pivotField axis="axisRow" compact="0" outline="0" showAll="0" defaultSubtotal="0">
      <items count="16">
        <item m="1" x="9"/>
        <item x="0"/>
        <item m="1" x="14"/>
        <item x="3"/>
        <item m="1" x="15"/>
        <item m="1" x="13"/>
        <item x="1"/>
        <item x="7"/>
        <item x="2"/>
        <item m="1" x="11"/>
        <item x="5"/>
        <item x="4"/>
        <item m="1" x="12"/>
        <item m="1" x="10"/>
        <item x="8"/>
        <item x="6"/>
      </items>
    </pivotField>
    <pivotField compact="0" outline="0" showAll="0" defaultSubtotal="0"/>
    <pivotField compact="0" outline="0" showAll="0" defaultSubtotal="0"/>
    <pivotField compact="0" outline="0" showAll="0" defaultSubtotal="0"/>
    <pivotField name="Tiene Anexo 2 ¿?" compact="0" outline="0" showAll="0" defaultSubtotal="0"/>
    <pivotField axis="axisCol" compact="0" outline="0" showAll="0" defaultSubtotal="0">
      <items count="8">
        <item x="4"/>
        <item x="0"/>
        <item x="3"/>
        <item x="2"/>
        <item m="1" x="7"/>
        <item x="5"/>
        <item x="1"/>
        <item m="1" x="6"/>
      </items>
    </pivotField>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5"/>
  </rowFields>
  <rowItems count="10">
    <i>
      <x v="1"/>
    </i>
    <i>
      <x v="3"/>
    </i>
    <i>
      <x v="6"/>
    </i>
    <i>
      <x v="7"/>
    </i>
    <i>
      <x v="8"/>
    </i>
    <i>
      <x v="10"/>
    </i>
    <i>
      <x v="11"/>
    </i>
    <i>
      <x v="14"/>
    </i>
    <i>
      <x v="15"/>
    </i>
    <i t="grand">
      <x/>
    </i>
  </rowItems>
  <colFields count="1">
    <field x="10"/>
  </colFields>
  <colItems count="7">
    <i>
      <x/>
    </i>
    <i>
      <x v="1"/>
    </i>
    <i>
      <x v="2"/>
    </i>
    <i>
      <x v="3"/>
    </i>
    <i>
      <x v="5"/>
    </i>
    <i>
      <x v="6"/>
    </i>
    <i t="grand">
      <x/>
    </i>
  </colItems>
  <dataFields count="1">
    <dataField name="Tabla 3 - Categorias de los requerimientos por gerencias" fld="0" subtotal="count" baseField="0" baseItem="0"/>
  </dataFields>
  <formats count="4">
    <format dxfId="113">
      <pivotArea outline="0" collapsedLevelsAreSubtotals="1" fieldPosition="0"/>
    </format>
    <format dxfId="112">
      <pivotArea dataOnly="0" labelOnly="1" grandCol="1" outline="0" fieldPosition="0"/>
    </format>
    <format dxfId="111">
      <pivotArea outline="0" collapsedLevelsAreSubtotals="1" fieldPosition="0"/>
    </format>
    <format dxfId="11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TablaDinámica4" cacheId="13"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A44:B54" firstHeaderRow="1" firstDataRow="1" firstDataCol="1"/>
  <pivotFields count="28">
    <pivotField dataField="1" compact="0" outline="0" showAll="0" defaultSubtotal="0"/>
    <pivotField compact="0" outline="0" showAll="0" defaultSubtotal="0"/>
    <pivotField compact="0" outline="0" subtotalTop="0" showAll="0" defaultSubtotal="0"/>
    <pivotField compact="0" outline="0" multipleItemSelectionAllowed="1" showAll="0" defaultSubtotal="0"/>
    <pivotField compact="0" outline="0" multipleItemSelectionAllowed="1" showAll="0" defaultSubtotal="0">
      <items count="13">
        <item m="1" x="12"/>
        <item m="1" x="9"/>
        <item x="4"/>
        <item x="1"/>
        <item x="2"/>
        <item m="1" x="10"/>
        <item x="3"/>
        <item m="1" x="7"/>
        <item x="0"/>
        <item m="1" x="11"/>
        <item x="5"/>
        <item m="1" x="8"/>
        <item m="1" x="6"/>
      </items>
    </pivotField>
    <pivotField name="Gerencia" axis="axisRow" compact="0" outline="0" showAll="0" defaultSubtotal="0">
      <items count="16">
        <item m="1" x="9"/>
        <item x="0"/>
        <item m="1" x="14"/>
        <item x="3"/>
        <item m="1" x="15"/>
        <item m="1" x="13"/>
        <item x="1"/>
        <item x="7"/>
        <item x="2"/>
        <item m="1" x="11"/>
        <item x="5"/>
        <item x="4"/>
        <item m="1" x="12"/>
        <item m="1" x="10"/>
        <item x="8"/>
        <item x="6"/>
      </items>
    </pivotField>
    <pivotField compact="0" outline="0" showAll="0" defaultSubtotal="0"/>
    <pivotField compact="0" outline="0" showAll="0" defaultSubtotal="0"/>
    <pivotField compact="0" outline="0" showAll="0" defaultSubtotal="0"/>
    <pivotField name="Tiene Anexo 2 ¿?" compact="0" outline="0" showAll="0" defaultSubtotal="0">
      <items count="5">
        <item x="1"/>
        <item m="1" x="3"/>
        <item x="0"/>
        <item m="1" x="4"/>
        <item m="1" x="2"/>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5"/>
  </rowFields>
  <rowItems count="10">
    <i>
      <x v="1"/>
    </i>
    <i>
      <x v="3"/>
    </i>
    <i>
      <x v="6"/>
    </i>
    <i>
      <x v="7"/>
    </i>
    <i>
      <x v="8"/>
    </i>
    <i>
      <x v="10"/>
    </i>
    <i>
      <x v="11"/>
    </i>
    <i>
      <x v="14"/>
    </i>
    <i>
      <x v="15"/>
    </i>
    <i t="grand">
      <x/>
    </i>
  </rowItems>
  <colItems count="1">
    <i/>
  </colItems>
  <dataFields count="1">
    <dataField name="Tabla 5 - Requerimientos según su estado y gerencia" fld="0" subtotal="count" baseField="0" baseItem="0"/>
  </dataFields>
  <formats count="4">
    <format dxfId="117">
      <pivotArea outline="0" collapsedLevelsAreSubtotals="1" fieldPosition="0"/>
    </format>
    <format dxfId="116">
      <pivotArea dataOnly="0" labelOnly="1" grandCol="1" outline="0" fieldPosition="0"/>
    </format>
    <format dxfId="115">
      <pivotArea outline="0" collapsedLevelsAreSubtotals="1" fieldPosition="0"/>
    </format>
    <format dxfId="11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 dinámica1" cacheId="13"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A3:D14" firstHeaderRow="1" firstDataRow="2" firstDataCol="1"/>
  <pivotFields count="28">
    <pivotField dataField="1" compact="0" outline="0" showAll="0" defaultSubtotal="0"/>
    <pivotField compact="0" outline="0" showAll="0" defaultSubtotal="0"/>
    <pivotField compact="0" outline="0" subtotalTop="0" showAll="0" defaultSubtotal="0"/>
    <pivotField compact="0" outline="0" showAll="0" defaultSubtotal="0"/>
    <pivotField compact="0" outline="0" multipleItemSelectionAllowed="1" showAll="0" defaultSubtotal="0"/>
    <pivotField axis="axisRow" compact="0" outline="0" showAll="0" defaultSubtotal="0">
      <items count="16">
        <item m="1" x="9"/>
        <item x="0"/>
        <item m="1" x="14"/>
        <item x="3"/>
        <item m="1" x="15"/>
        <item m="1" x="13"/>
        <item x="1"/>
        <item x="7"/>
        <item x="2"/>
        <item m="1" x="11"/>
        <item x="5"/>
        <item x="4"/>
        <item m="1" x="12"/>
        <item m="1" x="10"/>
        <item x="8"/>
        <item x="6"/>
      </items>
    </pivotField>
    <pivotField compact="0" outline="0" showAll="0" defaultSubtotal="0"/>
    <pivotField compact="0" outline="0" showAll="0" defaultSubtotal="0"/>
    <pivotField compact="0" outline="0" showAll="0" defaultSubtotal="0"/>
    <pivotField name="Tiene Anexo 2 ¿?" axis="axisCol" compact="0" outline="0" showAll="0" defaultSubtotal="0">
      <items count="5">
        <item m="1" x="3"/>
        <item x="1"/>
        <item m="1" x="4"/>
        <item m="1" x="2"/>
        <item x="0"/>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5"/>
  </rowFields>
  <rowItems count="10">
    <i>
      <x v="1"/>
    </i>
    <i>
      <x v="3"/>
    </i>
    <i>
      <x v="6"/>
    </i>
    <i>
      <x v="7"/>
    </i>
    <i>
      <x v="8"/>
    </i>
    <i>
      <x v="10"/>
    </i>
    <i>
      <x v="11"/>
    </i>
    <i>
      <x v="14"/>
    </i>
    <i>
      <x v="15"/>
    </i>
    <i t="grand">
      <x/>
    </i>
  </rowItems>
  <colFields count="1">
    <field x="9"/>
  </colFields>
  <colItems count="3">
    <i>
      <x v="1"/>
    </i>
    <i>
      <x v="4"/>
    </i>
    <i t="grand">
      <x/>
    </i>
  </colItems>
  <dataFields count="1">
    <dataField name="Tabla 1 - Requerimientos que cuentan con anexo 2 por gerencias" fld="0" subtotal="count" baseField="0" baseItem="0"/>
  </dataFields>
  <formats count="6">
    <format dxfId="123">
      <pivotArea outline="0" collapsedLevelsAreSubtotals="1" fieldPosition="0"/>
    </format>
    <format dxfId="122">
      <pivotArea dataOnly="0" labelOnly="1" outline="0" fieldPosition="0">
        <references count="1">
          <reference field="9" count="0"/>
        </references>
      </pivotArea>
    </format>
    <format dxfId="121">
      <pivotArea dataOnly="0" labelOnly="1" grandCol="1" outline="0" fieldPosition="0"/>
    </format>
    <format dxfId="120">
      <pivotArea outline="0" collapsedLevelsAreSubtotals="1" fieldPosition="0"/>
    </format>
    <format dxfId="119">
      <pivotArea dataOnly="0" labelOnly="1" outline="0" fieldPosition="0">
        <references count="1">
          <reference field="9" count="0"/>
        </references>
      </pivotArea>
    </format>
    <format dxfId="1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182671-07E7-43EB-B06E-6DD54D14D0B5}" name="TablaDinámica2" cacheId="13"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A82:G93" firstHeaderRow="1" firstDataRow="2" firstDataCol="1" rowPageCount="1" colPageCount="1"/>
  <pivotFields count="28">
    <pivotField dataField="1" compact="0" outline="0" showAll="0" defaultSubtotal="0"/>
    <pivotField compact="0" outline="0" showAll="0" defaultSubtotal="0"/>
    <pivotField compact="0" outline="0" subtotalTop="0" showAll="0" defaultSubtotal="0"/>
    <pivotField compact="0" outline="0" showAll="0" defaultSubtotal="0"/>
    <pivotField compact="0" outline="0" multipleItemSelectionAllowed="1" showAll="0" defaultSubtotal="0"/>
    <pivotField axis="axisRow" compact="0" outline="0" showAll="0" sortType="descending" defaultSubtotal="0">
      <items count="16">
        <item m="1" x="9"/>
        <item x="0"/>
        <item m="1" x="14"/>
        <item x="3"/>
        <item m="1" x="15"/>
        <item m="1" x="13"/>
        <item x="1"/>
        <item x="7"/>
        <item x="2"/>
        <item m="1" x="11"/>
        <item x="5"/>
        <item x="4"/>
        <item m="1" x="12"/>
        <item m="1" x="10"/>
        <item x="8"/>
        <item x="6"/>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name="Tiene Anexo 2 ¿?" axis="axisPage" compact="0" outline="0" showAll="0" defaultSubtotal="0">
      <items count="5">
        <item m="1" x="3"/>
        <item h="1" x="1"/>
        <item m="1" x="4"/>
        <item m="1" x="2"/>
        <item x="0"/>
      </items>
    </pivotField>
    <pivotField axis="axisCol" compact="0" outline="0" showAll="0" defaultSubtotal="0">
      <items count="8">
        <item x="4"/>
        <item x="0"/>
        <item x="1"/>
        <item x="3"/>
        <item x="2"/>
        <item m="1" x="7"/>
        <item m="1" x="6"/>
        <item x="5"/>
      </items>
    </pivotField>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5"/>
  </rowFields>
  <rowItems count="10">
    <i>
      <x v="1"/>
    </i>
    <i>
      <x v="6"/>
    </i>
    <i>
      <x v="8"/>
    </i>
    <i>
      <x v="11"/>
    </i>
    <i>
      <x v="3"/>
    </i>
    <i>
      <x v="15"/>
    </i>
    <i>
      <x v="7"/>
    </i>
    <i>
      <x v="10"/>
    </i>
    <i>
      <x v="14"/>
    </i>
    <i t="grand">
      <x/>
    </i>
  </rowItems>
  <colFields count="1">
    <field x="10"/>
  </colFields>
  <colItems count="6">
    <i>
      <x/>
    </i>
    <i>
      <x v="1"/>
    </i>
    <i>
      <x v="2"/>
    </i>
    <i>
      <x v="3"/>
    </i>
    <i>
      <x v="4"/>
    </i>
    <i t="grand">
      <x/>
    </i>
  </colItems>
  <pageFields count="1">
    <pageField fld="9" item="4" hier="-1"/>
  </pageFields>
  <dataFields count="1">
    <dataField name="Tabla 1 - Requerimientos que cuentan con anexo 2 por gerencias" fld="0" subtotal="count" baseField="0" baseItem="0"/>
  </dataFields>
  <formats count="4">
    <format dxfId="127">
      <pivotArea outline="0" collapsedLevelsAreSubtotals="1" fieldPosition="0"/>
    </format>
    <format dxfId="126">
      <pivotArea dataOnly="0" labelOnly="1" grandCol="1" outline="0" fieldPosition="0"/>
    </format>
    <format dxfId="125">
      <pivotArea outline="0" collapsedLevelsAreSubtotals="1" fieldPosition="0"/>
    </format>
    <format dxfId="12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TablaDinámica5" cacheId="13"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A26:H37" firstHeaderRow="1" firstDataRow="2" firstDataCol="1"/>
  <pivotFields count="28">
    <pivotField dataField="1" compact="0" outline="0" showAll="0" defaultSubtotal="0"/>
    <pivotField compact="0" outline="0" showAll="0" defaultSubtotal="0"/>
    <pivotField compact="0" outline="0" subtotalTop="0" showAll="0" defaultSubtotal="0"/>
    <pivotField compact="0" outline="0" showAll="0" defaultSubtotal="0"/>
    <pivotField axis="axisCol" compact="0" outline="0" multipleItemSelectionAllowed="1" showAll="0" defaultSubtotal="0">
      <items count="13">
        <item m="1" x="12"/>
        <item m="1" x="9"/>
        <item x="1"/>
        <item x="2"/>
        <item x="0"/>
        <item m="1" x="7"/>
        <item m="1" x="10"/>
        <item x="3"/>
        <item m="1" x="11"/>
        <item m="1" x="8"/>
        <item m="1" x="6"/>
        <item x="4"/>
        <item x="5"/>
      </items>
    </pivotField>
    <pivotField axis="axisRow" compact="0" outline="0" showAll="0" defaultSubtotal="0">
      <items count="16">
        <item m="1" x="9"/>
        <item x="0"/>
        <item m="1" x="14"/>
        <item x="3"/>
        <item m="1" x="15"/>
        <item m="1" x="13"/>
        <item x="1"/>
        <item x="7"/>
        <item x="2"/>
        <item m="1" x="11"/>
        <item x="5"/>
        <item x="4"/>
        <item m="1" x="12"/>
        <item m="1" x="10"/>
        <item x="8"/>
        <item x="6"/>
      </items>
    </pivotField>
    <pivotField compact="0" outline="0" showAll="0" defaultSubtotal="0"/>
    <pivotField compact="0" outline="0" showAll="0" defaultSubtotal="0"/>
    <pivotField compact="0" outline="0" showAll="0" defaultSubtotal="0"/>
    <pivotField name="Tiene Anexo 2 ¿?" compact="0" outline="0" multipleItemSelectionAllowed="1" showAll="0" defaultSubtotal="0">
      <items count="5">
        <item x="1"/>
        <item m="1" x="3"/>
        <item x="0"/>
        <item m="1" x="4"/>
        <item m="1" x="2"/>
      </items>
    </pivotField>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5"/>
  </rowFields>
  <rowItems count="10">
    <i>
      <x v="1"/>
    </i>
    <i>
      <x v="3"/>
    </i>
    <i>
      <x v="6"/>
    </i>
    <i>
      <x v="7"/>
    </i>
    <i>
      <x v="8"/>
    </i>
    <i>
      <x v="10"/>
    </i>
    <i>
      <x v="11"/>
    </i>
    <i>
      <x v="14"/>
    </i>
    <i>
      <x v="15"/>
    </i>
    <i t="grand">
      <x/>
    </i>
  </rowItems>
  <colFields count="1">
    <field x="4"/>
  </colFields>
  <colItems count="7">
    <i>
      <x v="2"/>
    </i>
    <i>
      <x v="3"/>
    </i>
    <i>
      <x v="4"/>
    </i>
    <i>
      <x v="7"/>
    </i>
    <i>
      <x v="11"/>
    </i>
    <i>
      <x v="12"/>
    </i>
    <i t="grand">
      <x/>
    </i>
  </colItems>
  <dataFields count="1">
    <dataField name="Tabla 4 - Requerimientos según su tamaño y gerencia" fld="0" subtotal="count" baseField="0" baseItem="0"/>
  </dataFields>
  <formats count="4">
    <format dxfId="131">
      <pivotArea outline="0" collapsedLevelsAreSubtotals="1" fieldPosition="0"/>
    </format>
    <format dxfId="130">
      <pivotArea dataOnly="0" labelOnly="1" grandCol="1" outline="0" fieldPosition="0"/>
    </format>
    <format dxfId="129">
      <pivotArea outline="0" collapsedLevelsAreSubtotals="1" fieldPosition="0"/>
    </format>
    <format dxfId="12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811A1F-10C2-4542-89BB-5FDC3622D0DE}" name="TablaDinámica7" cacheId="1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04:S115" firstHeaderRow="1" firstDataRow="2" firstDataCol="1" rowPageCount="2" colPageCount="1"/>
  <pivotFields count="28">
    <pivotField dataField="1" compact="0" outline="0" showAll="0"/>
    <pivotField compact="0" outline="0" showAll="0"/>
    <pivotField compact="0" outline="0" showAll="0"/>
    <pivotField compact="0" outline="0" showAll="0"/>
    <pivotField compact="0" outline="0" showAll="0"/>
    <pivotField axis="axisRow" compact="0" outline="0" showAll="0">
      <items count="17">
        <item x="6"/>
        <item m="1" x="9"/>
        <item x="0"/>
        <item m="1" x="14"/>
        <item x="3"/>
        <item m="1" x="15"/>
        <item x="8"/>
        <item m="1" x="13"/>
        <item x="1"/>
        <item x="7"/>
        <item x="2"/>
        <item m="1" x="11"/>
        <item x="5"/>
        <item x="4"/>
        <item m="1" x="12"/>
        <item m="1" x="10"/>
        <item t="default"/>
      </items>
    </pivotField>
    <pivotField compact="0" outline="0" showAll="0"/>
    <pivotField compact="0" outline="0" showAll="0"/>
    <pivotField compact="0" outline="0" showAll="0"/>
    <pivotField axis="axisPage" compact="0" outline="0" showAll="0">
      <items count="6">
        <item h="1" x="1"/>
        <item m="1" x="3"/>
        <item x="0"/>
        <item m="1" x="4"/>
        <item m="1" x="2"/>
        <item t="default"/>
      </items>
    </pivotField>
    <pivotField compact="0" outline="0" showAll="0"/>
    <pivotField axis="axisPage" compact="0" outline="0" showAll="0">
      <items count="7">
        <item x="3"/>
        <item m="1" x="5"/>
        <item h="1" x="2"/>
        <item x="1"/>
        <item h="1" x="0"/>
        <item m="1"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9">
        <item x="15"/>
        <item x="8"/>
        <item x="6"/>
        <item x="2"/>
        <item x="4"/>
        <item x="17"/>
        <item x="10"/>
        <item x="13"/>
        <item x="9"/>
        <item x="1"/>
        <item x="3"/>
        <item x="5"/>
        <item x="14"/>
        <item x="11"/>
        <item x="7"/>
        <item x="16"/>
        <item x="12"/>
        <item x="0"/>
        <item t="default"/>
      </items>
    </pivotField>
    <pivotField compact="0" outline="0" showAll="0"/>
  </pivotFields>
  <rowFields count="1">
    <field x="5"/>
  </rowFields>
  <rowItems count="10">
    <i>
      <x/>
    </i>
    <i>
      <x v="2"/>
    </i>
    <i>
      <x v="4"/>
    </i>
    <i>
      <x v="6"/>
    </i>
    <i>
      <x v="8"/>
    </i>
    <i>
      <x v="9"/>
    </i>
    <i>
      <x v="10"/>
    </i>
    <i>
      <x v="12"/>
    </i>
    <i>
      <x v="13"/>
    </i>
    <i t="grand">
      <x/>
    </i>
  </rowItems>
  <colFields count="1">
    <field x="26"/>
  </colFields>
  <colItems count="18">
    <i>
      <x/>
    </i>
    <i>
      <x v="1"/>
    </i>
    <i>
      <x v="2"/>
    </i>
    <i>
      <x v="3"/>
    </i>
    <i>
      <x v="4"/>
    </i>
    <i>
      <x v="5"/>
    </i>
    <i>
      <x v="6"/>
    </i>
    <i>
      <x v="7"/>
    </i>
    <i>
      <x v="8"/>
    </i>
    <i>
      <x v="9"/>
    </i>
    <i>
      <x v="10"/>
    </i>
    <i>
      <x v="11"/>
    </i>
    <i>
      <x v="12"/>
    </i>
    <i>
      <x v="13"/>
    </i>
    <i>
      <x v="14"/>
    </i>
    <i>
      <x v="15"/>
    </i>
    <i>
      <x v="16"/>
    </i>
    <i t="grand">
      <x/>
    </i>
  </colItems>
  <pageFields count="2">
    <pageField fld="9" item="2" hier="-1"/>
    <pageField fld="11" item="3" hier="-1"/>
  </pageFields>
  <dataFields count="1">
    <dataField name="Cuenta de Nombre del requerimient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232F4C-296E-415F-A8C3-54D557E07303}" name="TablaDinámica2" cacheId="13" applyNumberFormats="0" applyBorderFormats="0" applyFontFormats="0" applyPatternFormats="0" applyAlignmentFormats="0" applyWidthHeightFormats="1" dataCaption="Valores" updatedVersion="8" minRefreshableVersion="3" itemPrintTitles="1" createdVersion="8" indent="0" compact="0" compactData="0" multipleFieldFilters="0">
  <location ref="B6:C16" firstHeaderRow="1" firstDataRow="1" firstDataCol="1"/>
  <pivotFields count="28">
    <pivotField dataField="1" compact="0" outline="0" showAll="0"/>
    <pivotField compact="0" outline="0" showAll="0"/>
    <pivotField compact="0" outline="0" showAll="0"/>
    <pivotField compact="0" outline="0" showAll="0"/>
    <pivotField compact="0" outline="0" showAll="0"/>
    <pivotField axis="axisRow" compact="0" outline="0" showAll="0">
      <items count="17">
        <item m="1" x="9"/>
        <item x="0"/>
        <item m="1" x="14"/>
        <item x="3"/>
        <item m="1" x="15"/>
        <item x="8"/>
        <item m="1" x="13"/>
        <item x="1"/>
        <item x="7"/>
        <item x="2"/>
        <item m="1" x="11"/>
        <item x="5"/>
        <item x="4"/>
        <item m="1" x="12"/>
        <item m="1" x="1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10">
    <i>
      <x v="1"/>
    </i>
    <i>
      <x v="3"/>
    </i>
    <i>
      <x v="5"/>
    </i>
    <i>
      <x v="7"/>
    </i>
    <i>
      <x v="8"/>
    </i>
    <i>
      <x v="9"/>
    </i>
    <i>
      <x v="11"/>
    </i>
    <i>
      <x v="12"/>
    </i>
    <i>
      <x v="15"/>
    </i>
    <i t="grand">
      <x/>
    </i>
  </rowItems>
  <colItems count="1">
    <i/>
  </colItems>
  <dataFields count="1">
    <dataField name="#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4D88CA-B826-40DD-99E1-DD246FAAB3B9}" name="TablaDinámica3" cacheId="1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B38:G49" firstHeaderRow="1" firstDataRow="2" firstDataCol="1"/>
  <pivotFields count="28">
    <pivotField dataField="1" compact="0" outline="0" showAll="0"/>
    <pivotField compact="0" outline="0" showAll="0"/>
    <pivotField compact="0" outline="0" showAll="0"/>
    <pivotField compact="0" outline="0" showAll="0"/>
    <pivotField compact="0" outline="0" showAll="0"/>
    <pivotField axis="axisRow" compact="0" outline="0" showAll="0">
      <items count="17">
        <item x="6"/>
        <item m="1" x="9"/>
        <item x="0"/>
        <item m="1" x="14"/>
        <item x="3"/>
        <item m="1" x="15"/>
        <item x="8"/>
        <item m="1" x="13"/>
        <item x="1"/>
        <item x="7"/>
        <item x="2"/>
        <item m="1" x="11"/>
        <item x="5"/>
        <item x="4"/>
        <item m="1" x="12"/>
        <item m="1"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6">
        <item x="2"/>
        <item x="0"/>
        <item m="1" x="4"/>
        <item x="1"/>
        <item x="3"/>
        <item t="default"/>
      </items>
    </pivotField>
    <pivotField compact="0" outline="0" showAll="0"/>
    <pivotField compact="0" outline="0" showAll="0"/>
  </pivotFields>
  <rowFields count="1">
    <field x="5"/>
  </rowFields>
  <rowItems count="10">
    <i>
      <x/>
    </i>
    <i>
      <x v="2"/>
    </i>
    <i>
      <x v="4"/>
    </i>
    <i>
      <x v="6"/>
    </i>
    <i>
      <x v="8"/>
    </i>
    <i>
      <x v="9"/>
    </i>
    <i>
      <x v="10"/>
    </i>
    <i>
      <x v="12"/>
    </i>
    <i>
      <x v="13"/>
    </i>
    <i t="grand">
      <x/>
    </i>
  </rowItems>
  <colFields count="1">
    <field x="25"/>
  </colFields>
  <colItems count="5">
    <i>
      <x/>
    </i>
    <i>
      <x v="1"/>
    </i>
    <i>
      <x v="3"/>
    </i>
    <i>
      <x v="4"/>
    </i>
    <i t="grand">
      <x/>
    </i>
  </colItems>
  <dataFields count="1">
    <dataField name="Cuenta de Nombre del requerimient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FD4626-B1DC-4101-BCE9-627968A17359}" name="TablaDinámica6" cacheId="1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B89:G97" firstHeaderRow="1" firstDataRow="2" firstDataCol="1"/>
  <pivotFields count="28">
    <pivotField dataField="1" compact="0" outline="0" showAll="0"/>
    <pivotField compact="0" outline="0" showAll="0"/>
    <pivotField compact="0" outline="0" showAll="0"/>
    <pivotField compact="0" outline="0" showAll="0"/>
    <pivotField axis="axisRow" compact="0" outline="0" showAll="0">
      <items count="14">
        <item m="1" x="12"/>
        <item m="1" x="9"/>
        <item x="4"/>
        <item x="1"/>
        <item x="2"/>
        <item m="1" x="10"/>
        <item x="3"/>
        <item m="1" x="7"/>
        <item x="0"/>
        <item m="1" x="11"/>
        <item x="5"/>
        <item m="1" x="8"/>
        <item m="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6">
        <item x="2"/>
        <item x="0"/>
        <item x="3"/>
        <item m="1" x="4"/>
        <item x="1"/>
        <item t="default"/>
      </items>
    </pivotField>
    <pivotField compact="0" outline="0" showAll="0"/>
    <pivotField compact="0" outline="0" showAll="0"/>
  </pivotFields>
  <rowFields count="1">
    <field x="4"/>
  </rowFields>
  <rowItems count="7">
    <i>
      <x v="2"/>
    </i>
    <i>
      <x v="3"/>
    </i>
    <i>
      <x v="4"/>
    </i>
    <i>
      <x v="6"/>
    </i>
    <i>
      <x v="8"/>
    </i>
    <i>
      <x v="10"/>
    </i>
    <i t="grand">
      <x/>
    </i>
  </rowItems>
  <colFields count="1">
    <field x="25"/>
  </colFields>
  <colItems count="5">
    <i>
      <x/>
    </i>
    <i>
      <x v="1"/>
    </i>
    <i>
      <x v="2"/>
    </i>
    <i>
      <x v="4"/>
    </i>
    <i t="grand">
      <x/>
    </i>
  </colItems>
  <dataFields count="1">
    <dataField name="Cuenta de Nombre del requerimient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E46D44-30ED-46B9-B6D8-5BE6598D333A}" name="TablaDinámica4" cacheId="1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B55:E66" firstHeaderRow="1" firstDataRow="2" firstDataCol="1"/>
  <pivotFields count="28">
    <pivotField dataField="1" compact="0" outline="0" showAll="0"/>
    <pivotField compact="0" outline="0" showAll="0"/>
    <pivotField compact="0" outline="0" showAll="0"/>
    <pivotField compact="0" outline="0" showAll="0"/>
    <pivotField compact="0" outline="0" showAll="0"/>
    <pivotField axis="axisRow" compact="0" outline="0" showAll="0">
      <items count="17">
        <item x="6"/>
        <item m="1" x="9"/>
        <item x="0"/>
        <item m="1" x="14"/>
        <item x="3"/>
        <item m="1" x="15"/>
        <item x="8"/>
        <item m="1" x="13"/>
        <item x="1"/>
        <item x="7"/>
        <item x="2"/>
        <item m="1" x="11"/>
        <item x="5"/>
        <item x="4"/>
        <item m="1" x="12"/>
        <item m="1"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1"/>
        <item m="1" x="2"/>
        <item t="default"/>
      </items>
    </pivotField>
    <pivotField compact="0" outline="0" showAll="0"/>
    <pivotField compact="0" outline="0" showAll="0"/>
    <pivotField compact="0" outline="0" showAll="0"/>
  </pivotFields>
  <rowFields count="1">
    <field x="5"/>
  </rowFields>
  <rowItems count="10">
    <i>
      <x/>
    </i>
    <i>
      <x v="2"/>
    </i>
    <i>
      <x v="4"/>
    </i>
    <i>
      <x v="6"/>
    </i>
    <i>
      <x v="8"/>
    </i>
    <i>
      <x v="9"/>
    </i>
    <i>
      <x v="10"/>
    </i>
    <i>
      <x v="12"/>
    </i>
    <i>
      <x v="13"/>
    </i>
    <i t="grand">
      <x/>
    </i>
  </rowItems>
  <colFields count="1">
    <field x="24"/>
  </colFields>
  <colItems count="3">
    <i>
      <x/>
    </i>
    <i>
      <x v="1"/>
    </i>
    <i t="grand">
      <x/>
    </i>
  </colItems>
  <dataFields count="1">
    <dataField name="Cuenta de Nombre del requerimient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FE359-199D-4C33-BFF1-D9EE7B35EC0F}" name="TablaDinámica7" cacheId="1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B101:I103" firstHeaderRow="1" firstDataRow="2" firstDataCol="1"/>
  <pivotFields count="2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9">
        <item x="4"/>
        <item x="0"/>
        <item x="1"/>
        <item x="3"/>
        <item x="2"/>
        <item m="1" x="7"/>
        <item m="1" x="6"/>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10"/>
  </colFields>
  <colItems count="7">
    <i>
      <x/>
    </i>
    <i>
      <x v="1"/>
    </i>
    <i>
      <x v="2"/>
    </i>
    <i>
      <x v="3"/>
    </i>
    <i>
      <x v="4"/>
    </i>
    <i>
      <x v="7"/>
    </i>
    <i t="grand">
      <x/>
    </i>
  </colItems>
  <dataFields count="1">
    <dataField name="Cuenta de Nombre del requerimient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914F755-8934-44D9-AC23-237A979B9199}" name="TablaDinámica1" cacheId="1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B22:E32" firstHeaderRow="1" firstDataRow="2" firstDataCol="1" rowPageCount="1" colPageCount="1"/>
  <pivotFields count="28">
    <pivotField dataField="1" compact="0" outline="0" showAll="0"/>
    <pivotField compact="0" outline="0" showAll="0"/>
    <pivotField compact="0" outline="0" showAll="0"/>
    <pivotField compact="0" outline="0" showAll="0"/>
    <pivotField compact="0" outline="0" showAll="0"/>
    <pivotField axis="axisRow" compact="0" outline="0" showAll="0">
      <items count="17">
        <item m="1" x="9"/>
        <item x="0"/>
        <item m="1" x="14"/>
        <item x="3"/>
        <item m="1" x="15"/>
        <item m="1" x="13"/>
        <item x="1"/>
        <item x="7"/>
        <item x="2"/>
        <item m="1" x="11"/>
        <item x="5"/>
        <item x="4"/>
        <item m="1" x="12"/>
        <item m="1" x="10"/>
        <item x="8"/>
        <item x="6"/>
        <item t="default"/>
      </items>
    </pivotField>
    <pivotField compact="0" outline="0" showAll="0"/>
    <pivotField compact="0" outline="0" showAll="0"/>
    <pivotField compact="0" outline="0" showAll="0"/>
    <pivotField compact="0" outline="0" showAll="0"/>
    <pivotField axis="axisPage" compact="0" outline="0" multipleItemSelectionAllowed="1" showAll="0">
      <items count="9">
        <item h="1" x="4"/>
        <item h="1" x="0"/>
        <item x="3"/>
        <item x="2"/>
        <item m="1" x="7"/>
        <item h="1" x="5"/>
        <item h="1" x="1"/>
        <item m="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s>
  <rowFields count="1">
    <field x="5"/>
  </rowFields>
  <rowItems count="9">
    <i>
      <x v="1"/>
    </i>
    <i>
      <x v="3"/>
    </i>
    <i>
      <x v="6"/>
    </i>
    <i>
      <x v="8"/>
    </i>
    <i>
      <x v="10"/>
    </i>
    <i>
      <x v="11"/>
    </i>
    <i>
      <x v="14"/>
    </i>
    <i>
      <x v="15"/>
    </i>
    <i t="grand">
      <x/>
    </i>
  </rowItems>
  <colFields count="1">
    <field x="23"/>
  </colFields>
  <colItems count="3">
    <i>
      <x/>
    </i>
    <i>
      <x v="1"/>
    </i>
    <i t="grand">
      <x/>
    </i>
  </colItems>
  <pageFields count="1">
    <pageField fld="10" hier="-1"/>
  </pageFields>
  <dataFields count="1">
    <dataField name="Cuenta de Nombre del requerimient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9F0D9F-C8C2-42C0-87E7-6954196817F0}" name="TablaDinámica5" cacheId="1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B73:E84" firstHeaderRow="1" firstDataRow="2" firstDataCol="1" rowPageCount="1" colPageCount="1"/>
  <pivotFields count="28">
    <pivotField dataField="1" compact="0" outline="0" showAll="0"/>
    <pivotField compact="0" outline="0" showAll="0"/>
    <pivotField compact="0" outline="0" showAll="0"/>
    <pivotField compact="0" outline="0" showAll="0"/>
    <pivotField compact="0" outline="0" showAll="0"/>
    <pivotField axis="axisRow" compact="0" outline="0" showAll="0">
      <items count="17">
        <item x="6"/>
        <item m="1" x="9"/>
        <item x="0"/>
        <item m="1" x="14"/>
        <item x="3"/>
        <item m="1" x="15"/>
        <item x="8"/>
        <item m="1" x="13"/>
        <item x="1"/>
        <item x="7"/>
        <item x="2"/>
        <item m="1" x="11"/>
        <item x="5"/>
        <item x="4"/>
        <item m="1" x="12"/>
        <item m="1"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axis="axisPage" compact="0" outline="0" showAll="0">
      <items count="4">
        <item x="0"/>
        <item h="1" x="1"/>
        <item h="1" m="1" x="2"/>
        <item t="default"/>
      </items>
    </pivotField>
    <pivotField compact="0" outline="0" showAll="0"/>
    <pivotField compact="0" outline="0" showAll="0"/>
    <pivotField compact="0" outline="0" showAll="0"/>
  </pivotFields>
  <rowFields count="1">
    <field x="5"/>
  </rowFields>
  <rowItems count="10">
    <i>
      <x/>
    </i>
    <i>
      <x v="2"/>
    </i>
    <i>
      <x v="4"/>
    </i>
    <i>
      <x v="6"/>
    </i>
    <i>
      <x v="8"/>
    </i>
    <i>
      <x v="9"/>
    </i>
    <i>
      <x v="10"/>
    </i>
    <i>
      <x v="12"/>
    </i>
    <i>
      <x v="13"/>
    </i>
    <i t="grand">
      <x/>
    </i>
  </rowItems>
  <colFields count="1">
    <field x="23"/>
  </colFields>
  <colItems count="3">
    <i>
      <x/>
    </i>
    <i>
      <x v="1"/>
    </i>
    <i t="grand">
      <x/>
    </i>
  </colItems>
  <pageFields count="1">
    <pageField fld="24" item="0" hier="-1"/>
  </pageFields>
  <dataFields count="1">
    <dataField name="Cuenta de Nombre del requerimient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48CE5D88-D0A4-4293-BD14-0EEF35CF873D}" autoFormatId="16" applyNumberFormats="0" applyBorderFormats="0" applyFontFormats="0" applyPatternFormats="0" applyAlignmentFormats="0" applyWidthHeightFormats="0">
  <queryTableRefresh nextId="15">
    <queryTableFields count="14">
      <queryTableField id="1" name="Nombre del requerimiento" tableColumnId="1"/>
      <queryTableField id="2" name="Gerencia" tableColumnId="2"/>
      <queryTableField id="3" name="Prioridad" tableColumnId="3"/>
      <queryTableField id="4" name="Orden de Atención" tableColumnId="4"/>
      <queryTableField id="5" name="Tamaño" tableColumnId="5"/>
      <queryTableField id="6" name="Categoría" tableColumnId="6"/>
      <queryTableField id="7" name="Estado Evaluación de Iniciativas" tableColumnId="7"/>
      <queryTableField id="8" name="Seccion TI" tableColumnId="8"/>
      <queryTableField id="9" name="Responsable de atención" tableColumnId="9"/>
      <queryTableField id="10" name="Gestor" tableColumnId="10"/>
      <queryTableField id="11" name="Comienzo Desarrollo" tableColumnId="11"/>
      <queryTableField id="12" name="Fin Producción" tableColumnId="12"/>
      <queryTableField id="13" name="Mes_Cronograma" tableColumnId="13"/>
      <queryTableField id="14" name="Backlog ID"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amaño" xr10:uid="{00000000-0013-0000-FFFF-FFFF01000000}" sourceName="Tamaño">
  <pivotTables>
    <pivotTable tabId="33" name="TablaDinámica4"/>
    <pivotTable tabId="33" name="TablaDinámica5"/>
  </pivotTables>
  <data>
    <tabular pivotCacheId="320394498">
      <items count="13">
        <i x="4" s="1"/>
        <i x="1" s="1"/>
        <i x="2" s="1"/>
        <i x="3" s="1"/>
        <i x="0" s="1"/>
        <i x="5" s="1"/>
        <i x="12" s="1" nd="1"/>
        <i x="9" s="1" nd="1"/>
        <i x="10" s="1" nd="1"/>
        <i x="7" s="1" nd="1"/>
        <i x="11" s="1" nd="1"/>
        <i x="8" s="1" nd="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iene_Anexo_2" xr10:uid="{00000000-0013-0000-FFFF-FFFF02000000}" sourceName="Tiene Anexo 2">
  <pivotTables>
    <pivotTable tabId="33" name="TablaDinámica5"/>
    <pivotTable tabId="33" name="TablaDinámica4"/>
  </pivotTables>
  <data>
    <tabular pivotCacheId="320394498">
      <items count="5">
        <i x="1" s="1"/>
        <i x="0" s="1"/>
        <i x="3" s="1" nd="1"/>
        <i x="4" s="1" nd="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maño" xr10:uid="{00000000-0014-0000-FFFF-FFFF01000000}" cache="SegmentaciónDeDatos_Tamaño" caption="Tamaño segun corresponda" columnCount="6" rowHeight="241300"/>
  <slicer name="Tamaño 1" xr10:uid="{00000000-0014-0000-FFFF-FFFF02000000}" cache="SegmentaciónDeDatos_Tamaño" caption="Tamaño" columnCount="6" rowHeight="241300"/>
  <slicer name="Tiene Anexo 2 ¿?" xr10:uid="{00000000-0014-0000-FFFF-FFFF03000000}" cache="SegmentaciónDeDatos_Tiene_Anexo_2" caption="Tiene Anexo 2 ¿?" columnCount="3"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086587-2C32-4580-BE22-F03171E4294D}" name="Tabla4" displayName="Tabla4" ref="A3:AA6" totalsRowShown="0">
  <autoFilter ref="A3:AA6" xr:uid="{F9086587-2C32-4580-BE22-F03171E4294D}"/>
  <tableColumns count="27">
    <tableColumn id="1" xr3:uid="{F22BF8C9-8435-4D90-AE62-8339C04B022C}" name="Nombre del requerimiento"/>
    <tableColumn id="2" xr3:uid="{F3A40EFA-62E3-4600-94B9-3392359D74D6}" name="Prioridad"/>
    <tableColumn id="3" xr3:uid="{01344150-177E-4DB7-A802-D35C24CE726B}" name="Orden de Atención"/>
    <tableColumn id="4" xr3:uid="{087FC81D-1A59-4AA3-996D-33E97B1489A2}" name="Esfuerzo Estimado Desarrollo"/>
    <tableColumn id="5" xr3:uid="{F8C2B8B4-4EB7-466D-ADC1-278CF240BD4F}" name="Tamaño"/>
    <tableColumn id="6" xr3:uid="{A3433C2A-E632-4810-9FCC-5D6C8C394C25}" name="Gerencia"/>
    <tableColumn id="7" xr3:uid="{324F422E-DBC6-4635-944F-1E258D17FE15}" name="Subgerencia"/>
    <tableColumn id="8" xr3:uid="{A54444CD-7883-401D-93F8-4EF7F967DF69}" name="Sección"/>
    <tableColumn id="9" xr3:uid="{E6603277-7C80-49E6-8900-4F32F532FA98}" name="Memorando 2026"/>
    <tableColumn id="10" xr3:uid="{85CCBD4F-12BD-4638-828F-779864B89C23}" name="Tiene Anexo 2"/>
    <tableColumn id="11" xr3:uid="{C2FCF554-B512-45A8-A5BD-A66EB40EEC9A}" name="Categoría"/>
    <tableColumn id="12" xr3:uid="{3DAD8910-498B-4D47-8F53-19D67EBA52C9}" name="Estado Evaluación de Iniciativas"/>
    <tableColumn id="13" xr3:uid="{DB497A73-1F10-431E-AF9A-069D501C873E}" name="Seccion TI"/>
    <tableColumn id="14" xr3:uid="{852D36D1-8E0F-44EF-B03A-381D5285C66A}" name="Responsable de atención"/>
    <tableColumn id="15" xr3:uid="{CB378744-504A-48F7-B212-EA9BE1AC83D0}" name="Gestor"/>
    <tableColumn id="16" xr3:uid="{899EF513-A6B2-43DE-9D82-16C968C36ECE}" name="Comentario"/>
    <tableColumn id="17" xr3:uid="{BF3A0DE4-5451-422F-A74D-97DB433EE0B0}" name="Comienzo Desarrollo" dataDxfId="137"/>
    <tableColumn id="18" xr3:uid="{044EFA50-0F5A-4916-B47A-1A356012C0B9}" name="Fin Desarrollo" dataDxfId="136"/>
    <tableColumn id="19" xr3:uid="{6AC3A259-D6AA-4311-9359-172F004E1D0A}" name="Comienzo Calidad" dataDxfId="135"/>
    <tableColumn id="20" xr3:uid="{26B490E0-3E3D-45EE-B5A2-E57AC8BCEE96}" name="Fin Calidad" dataDxfId="134"/>
    <tableColumn id="21" xr3:uid="{B1F48DB4-416A-48B2-832A-697A1B3A9AD8}" name="Comienzo Producción" dataDxfId="133"/>
    <tableColumn id="22" xr3:uid="{5CDE4272-0AAD-45EC-99DD-3DAAAFB62BF5}" name="Fin Producción" dataDxfId="132"/>
    <tableColumn id="23" xr3:uid="{6330325D-ED44-476E-BCEC-A9274120D903}" name="Días Calendario"/>
    <tableColumn id="24" xr3:uid="{81413DB1-AB33-4B92-960B-8BA4EAADB815}" name="Hay Fecha Inicio"/>
    <tableColumn id="25" xr3:uid="{9173D283-54F8-498F-9095-72D1C629189D}" name="Tiene esfuerzo"/>
    <tableColumn id="26" xr3:uid="{9488258F-9A94-432A-86C1-2DE1AAFDB6AC}" name="Indicador Fechas"/>
    <tableColumn id="27" xr3:uid="{64623F9D-2293-4898-BF8E-5E5A4E652279}" name="Mes_Cronogra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0000000}" name="PRIORIDAD_UNO" displayName="PRIORIDAD_UNO" ref="A4:AB132" totalsRowShown="0" headerRowDxfId="167" dataDxfId="166">
  <autoFilter ref="A4:AB132" xr:uid="{00000000-0009-0000-0100-00000E000000}"/>
  <tableColumns count="28">
    <tableColumn id="2" xr3:uid="{00000000-0010-0000-0000-000002000000}" name="Nombre del requerimiento" dataDxfId="165"/>
    <tableColumn id="3" xr3:uid="{00000000-0010-0000-0000-000003000000}" name="Prioridad" dataDxfId="164"/>
    <tableColumn id="4" xr3:uid="{00000000-0010-0000-0000-000004000000}" name="Orden de Atención" dataDxfId="163"/>
    <tableColumn id="5" xr3:uid="{00000000-0010-0000-0000-000005000000}" name="Esfuerzo Estimado Desarrollo" dataDxfId="162"/>
    <tableColumn id="6" xr3:uid="{00000000-0010-0000-0000-000006000000}" name="Tamaño" dataDxfId="161">
      <calculatedColumnFormula>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calculatedColumnFormula>
    </tableColumn>
    <tableColumn id="7" xr3:uid="{00000000-0010-0000-0000-000007000000}" name="Gerencia" dataDxfId="160"/>
    <tableColumn id="8" xr3:uid="{00000000-0010-0000-0000-000008000000}" name="Subgerencia" dataDxfId="159"/>
    <tableColumn id="9" xr3:uid="{00000000-0010-0000-0000-000009000000}" name="Sección" dataDxfId="158"/>
    <tableColumn id="10" xr3:uid="{00000000-0010-0000-0000-00000A000000}" name="Memorando 2026" dataDxfId="157"/>
    <tableColumn id="11" xr3:uid="{00000000-0010-0000-0000-00000B000000}" name="Tiene Anexo 2" dataDxfId="156"/>
    <tableColumn id="12" xr3:uid="{00000000-0010-0000-0000-00000C000000}" name="Categoría" dataDxfId="155"/>
    <tableColumn id="14" xr3:uid="{00000000-0010-0000-0000-00000E000000}" name="Estado Evaluación de Iniciativas" dataDxfId="154"/>
    <tableColumn id="1" xr3:uid="{00000000-0010-0000-0000-000001000000}" name="Seccion TI" dataDxfId="153"/>
    <tableColumn id="13" xr3:uid="{00000000-0010-0000-0000-00000D000000}" name="Responsable de atención" dataDxfId="152"/>
    <tableColumn id="20" xr3:uid="{68EE5BA0-AE44-4397-843D-909ED7C87C9F}" name="Gestor" dataDxfId="151"/>
    <tableColumn id="15" xr3:uid="{00000000-0010-0000-0000-00000F000000}" name="Comentario" dataDxfId="150"/>
    <tableColumn id="17" xr3:uid="{00000000-0010-0000-0000-000011000000}" name="Comienzo Desarrollo" dataDxfId="149"/>
    <tableColumn id="19" xr3:uid="{00000000-0010-0000-0000-000013000000}" name="Fin Desarrollo" dataDxfId="148">
      <calculatedColumnFormula>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calculatedColumnFormula>
    </tableColumn>
    <tableColumn id="21" xr3:uid="{00000000-0010-0000-0000-000015000000}" name="Comienzo Calidad" dataDxfId="147">
      <calculatedColumnFormula>IF(PRIORIDAD_UNO[[#This Row],[Fin Desarrollo]]="","",IF(ISBLANK(VLOOKUP(PRIORIDAD_UNO[[#This Row],[Nombre del requerimiento]],'Cálculos Manual'!A:H,8,FALSE)),WORKDAY(PRIORIDAD_UNO[[#This Row],[Fin Desarrollo]],5,FERIADOS[Fecha]), VLOOKUP(PRIORIDAD_UNO[[#This Row],[Nombre del requerimiento]],'Cálculos Manual'!A:H,8,FALSE)))</calculatedColumnFormula>
    </tableColumn>
    <tableColumn id="23" xr3:uid="{00000000-0010-0000-0000-000017000000}" name="Fin Calidad" dataDxfId="146">
      <calculatedColumnFormula>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calculatedColumnFormula>
    </tableColumn>
    <tableColumn id="25" xr3:uid="{00000000-0010-0000-0000-000019000000}" name="Comienzo Producción" dataDxfId="145">
      <calculatedColumnFormula>IF(PRIORIDAD_UNO[[#This Row],[Fin Calidad]]="","",IF(ISBLANK(VLOOKUP(PRIORIDAD_UNO[[#This Row],[Nombre del requerimiento]],'Cálculos Manual'!A:L,12,FALSE)), WORKDAY(PRIORIDAD_UNO[[#This Row],[Fin Calidad]],5,FERIADOS[Fecha]), VLOOKUP(PRIORIDAD_UNO[[#This Row],[Nombre del requerimiento]],'Cálculos Manual'!A:L,12,FALSE)))</calculatedColumnFormula>
    </tableColumn>
    <tableColumn id="26" xr3:uid="{00000000-0010-0000-0000-00001A000000}" name="Fin Producción" dataDxfId="144">
      <calculatedColumnFormula>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calculatedColumnFormula>
    </tableColumn>
    <tableColumn id="16" xr3:uid="{00000000-0010-0000-0000-000010000000}" name="Días Calendario" dataDxfId="143">
      <calculatedColumnFormula>IFERROR(PRIORIDAD_UNO[[#This Row],[Fin Producción]]-PRIORIDAD_UNO[[#This Row],[Comienzo Desarrollo]],"")</calculatedColumnFormula>
    </tableColumn>
    <tableColumn id="18" xr3:uid="{E095CEF3-CDF8-4206-90A1-A09B2EDD69D3}" name="Hay Fecha Inicio" dataDxfId="142">
      <calculatedColumnFormula>IF(ISBLANK(PRIORIDAD_UNO[[#This Row],[Comienzo Desarrollo]]),"Sin Fecha","Con Fecha")</calculatedColumnFormula>
    </tableColumn>
    <tableColumn id="24" xr3:uid="{76AB1731-E18F-47BF-99F8-D07A0902655E}" name="Tiene esfuerzo" dataDxfId="141">
      <calculatedColumnFormula>IF(PRIORIDAD_UNO[[#This Row],[Esfuerzo Estimado Desarrollo]]="No definido","Sin esfuerzo","Con esfuerzo")</calculatedColumnFormula>
    </tableColumn>
    <tableColumn id="22" xr3:uid="{7C03C587-2EA1-490E-80D7-0C6EA00DF05B}" name="Indicador Fechas" dataDxfId="140">
      <calculatedColumnFormula>IF(ISBLANK(PRIORIDAD_UNO[[#This Row],[Comienzo Desarrollo]]),"🔵 Sin Fecha",
IF(PRIORIDAD_UNO[[#This Row],[Comienzo Desarrollo]]&lt;TODAY(),"🔴 Vencido",
IF(PRIORIDAD_UNO[[#This Row],[Comienzo Desarrollo]]=TODAY(),"🟡 Vence hoy",
IF((PRIORIDAD_UNO[[#This Row],[Comienzo Desarrollo]]-TODAY())&lt;=5,"🟠 Por vencer",
"🟢 A tiempo"))))</calculatedColumnFormula>
    </tableColumn>
    <tableColumn id="27" xr3:uid="{83908110-1C59-44D1-A4EB-63B7D06E935A}" name="Mes_Cronograma" dataDxfId="139">
      <calculatedColumnFormula>IF(PRIORIDAD_UNO[[#This Row],[Comienzo Producción]]="","Por Definir",_xlfn.CONCAT(YEAR(PRIORIDAD_UNO[[#This Row],[Comienzo Producción]])," - ", MONTH(PRIORIDAD_UNO[[#This Row],[Comienzo Producción]])))</calculatedColumnFormula>
    </tableColumn>
    <tableColumn id="28" xr3:uid="{82ED7217-F73A-4EED-A400-33439F1DB40E}" name="Backlog ID" dataDxfId="13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B77CD4-79E7-4758-AE5E-F5523562D3C4}" name="PRIORIDAD_UNO_2" displayName="PRIORIDAD_UNO_2" ref="A4:N132" tableType="queryTable" totalsRowShown="0" headerRowDxfId="101" dataDxfId="100">
  <autoFilter ref="A4:N132" xr:uid="{36B77CD4-79E7-4758-AE5E-F5523562D3C4}"/>
  <tableColumns count="14">
    <tableColumn id="1" xr3:uid="{5FE8D676-8061-4016-88E8-C9A46EAF7A0B}" uniqueName="1" name="Nombre del requerimiento" queryTableFieldId="1" dataDxfId="99"/>
    <tableColumn id="2" xr3:uid="{A7EB738C-0B21-4D19-AAE0-F9D14CF2A404}" uniqueName="2" name="Gerencia" queryTableFieldId="2" dataDxfId="98"/>
    <tableColumn id="3" xr3:uid="{9F651FD6-4A2A-414B-B4C1-95509B368C85}" uniqueName="3" name="Prioridad" queryTableFieldId="3" dataDxfId="11"/>
    <tableColumn id="4" xr3:uid="{478F5FFF-D517-412B-AE06-60D98ACD5BE4}" uniqueName="4" name="Orden de Atención" queryTableFieldId="4" dataDxfId="10"/>
    <tableColumn id="5" xr3:uid="{FB26A144-79B0-4D29-ABC1-7BD47764D7A9}" uniqueName="5" name="Tamaño" queryTableFieldId="5" dataDxfId="97"/>
    <tableColumn id="6" xr3:uid="{E8F445BD-BA66-4102-9C5B-3994A18211CD}" uniqueName="6" name="Categoría" queryTableFieldId="6" dataDxfId="96"/>
    <tableColumn id="7" xr3:uid="{152E95FB-38C4-4279-96B3-BAEAD2C1E0F1}" uniqueName="7" name="Estado Evaluación de Iniciativas" queryTableFieldId="7" dataDxfId="95"/>
    <tableColumn id="8" xr3:uid="{898CAA84-8C08-44A9-89C4-305E031470A8}" uniqueName="8" name="Seccion TI" queryTableFieldId="8" dataDxfId="94"/>
    <tableColumn id="9" xr3:uid="{CE418A1F-B112-4191-86D8-7141F1D5F62C}" uniqueName="9" name="Responsable de atención" queryTableFieldId="9" dataDxfId="93"/>
    <tableColumn id="10" xr3:uid="{93B16E6C-1287-457A-83CE-E5ED6CE82FB6}" uniqueName="10" name="Gestor" queryTableFieldId="10" dataDxfId="92"/>
    <tableColumn id="11" xr3:uid="{6D18F5A9-2384-4346-BFF3-79A4257EF29F}" uniqueName="11" name="Comienzo Desarrollo" queryTableFieldId="11" dataDxfId="9"/>
    <tableColumn id="12" xr3:uid="{134753E3-0175-4AEB-BFE0-5CC07B42396C}" uniqueName="12" name="Fin Producción" queryTableFieldId="12" dataDxfId="8"/>
    <tableColumn id="13" xr3:uid="{AB9C4478-0521-411B-B34E-AFDCD5F0FA8B}" uniqueName="13" name="Mes_Cronograma" queryTableFieldId="13"/>
    <tableColumn id="14" xr3:uid="{829BE8CE-D36B-4FB1-A313-58F5BD4ED3FD}" uniqueName="14" name="Backlog ID" queryTableFieldId="1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FERIADOS" displayName="FERIADOS" ref="B3:C85" totalsRowShown="0">
  <autoFilter ref="B3:C85" xr:uid="{00000000-0009-0000-0100-000001000000}"/>
  <sortState xmlns:xlrd2="http://schemas.microsoft.com/office/spreadsheetml/2017/richdata2" ref="B4:C62">
    <sortCondition ref="C3:C62"/>
  </sortState>
  <tableColumns count="2">
    <tableColumn id="1" xr3:uid="{00000000-0010-0000-0100-000001000000}" name="Festivo"/>
    <tableColumn id="2" xr3:uid="{00000000-0010-0000-0100-000002000000}" name="Fecha" dataDxfId="9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11ADEB-7C09-43F2-BCB4-56DA72ACED76}" name="Tabla2" displayName="Tabla2" ref="B2:G19" totalsRowShown="0" headerRowDxfId="90" dataDxfId="88" headerRowBorderDxfId="89" tableBorderDxfId="87" totalsRowBorderDxfId="86">
  <autoFilter ref="B2:G19" xr:uid="{CF11ADEB-7C09-43F2-BCB4-56DA72ACED76}"/>
  <tableColumns count="6">
    <tableColumn id="1" xr3:uid="{B3B38254-B8FC-4444-BD99-98BB94A49C7B}" name="Versión" dataDxfId="85"/>
    <tableColumn id="5" xr3:uid="{3A3A9037-569E-483D-A715-0673C6BBCE70}" name="¿Qué se realizó?" dataDxfId="84"/>
    <tableColumn id="2" xr3:uid="{0A2AF9F7-5069-4E7E-84D1-9DB32A59E051}" name="¿Qué estuvo que se eliminó en la siguiente versión?" dataDxfId="83"/>
    <tableColumn id="3" xr3:uid="{CA2C9C07-FD3C-4962-8131-3E1E37AA07C4}" name="Correo de solicitud" dataDxfId="82"/>
    <tableColumn id="4" xr3:uid="{30DEF479-EA5C-4DF5-B060-DFC61EBBBA51}" name="Link Versión" dataDxfId="81"/>
    <tableColumn id="6" xr3:uid="{D183BB85-CFA1-40CE-9723-FD504E26B3E4}" name="Fecha" dataDxfId="80"/>
  </tableColumns>
  <tableStyleInfo showFirstColumn="0" showLastColumn="0" showRowStripes="1" showColumnStripes="0"/>
</table>
</file>

<file path=xl/theme/theme1.xml><?xml version="1.0" encoding="utf-8"?>
<a:theme xmlns:a="http://schemas.openxmlformats.org/drawingml/2006/main" name="Tema d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3" Type="http://schemas.openxmlformats.org/officeDocument/2006/relationships/hyperlink" Target="../../../../../../../../../:x:/r/sites/opptic/sdp/gd/_layouts/15/Doc.aspx?sourcedoc=%7BBD80F9F8-7912-4090-9611-538DFD01EC3B%7D&amp;file=Backup%20Propuesta%20de%20Cronograma%20Iniciativas%202026_V3.xlsx&amp;action=default&amp;mobileredirect=true" TargetMode="External"/><Relationship Id="rId18" Type="http://schemas.openxmlformats.org/officeDocument/2006/relationships/hyperlink" Target="../../../../../../../../../:x:/r/sites/opptic/sdp/gd/ppm/Pruebas/Sof&#237;a%20Reyes%20Poli/Junior%20Alcides/Propuesta%20Cronograma%20Autom&#225;tico/Backup%20de%20Versiones%20Cronograma%20Iniciativas/Backup%20Propuesta%20de%20Cronograma%20Iniciativas%202026%20V10.xlsx?d=w08f40dfcb5b14579a330d874161dc652&amp;csf=1&amp;web=1&amp;e=gvcKKR" TargetMode="External"/><Relationship Id="rId26" Type="http://schemas.openxmlformats.org/officeDocument/2006/relationships/hyperlink" Target="../../Forms/AllItems.aspx?viewid=53551213%2Df1f4%2D459f%2D89b6%2D20aaeaa5dc86&amp;newTargetListUrl=%2Fsites%2Fopptic%2Fsdp%2Fgd%2Fdti&amp;viewpath=%2Fsites%2Fopptic%2Fsdp%2Fgd%2Fdti%2FForms%2FAllItems%2Easpx&amp;pageCorrelationId=16e515a2%2D503a%2Da000%2D49ef%2D2fdedc58cb5b&amp;timeStamp=1779465482291&amp;noAuthRedirect=1&amp;id=%2Fsites%2Fopptic%2Fsdp%2Fgd%2Fdti%2FCronogramas%20Iniciativas%20Prioridad%201%2FCorreos%20Solicitudes%20de%20Cambios%20de%20Iniciativas%2FRV%20Atenci%C3%B3n%20de%20la%20Iniciativa%20%2D%20Recomendaci%C3%B3n%20Mejoras%20en%20la%20Tx%200208%20%20Cuadre%20de%20Caja%20%2Emsg&amp;parent=%2Fsites%2Fopptic%2Fsdp%2Fgd%2Fdti%2FCronogramas%20Iniciativas%20Prioridad%201%2FCorreos%20Solicitudes%20de%20Cambios%20de%20Iniciativas" TargetMode="External"/><Relationship Id="rId3" Type="http://schemas.openxmlformats.org/officeDocument/2006/relationships/hyperlink" Target="../../Forms/AllItems.aspx?viewid=53551213%2Df1f4%2D459f%2D89b6%2D20aaeaa5dc86&amp;newTargetListUrl=%2Fsites%2Fopptic%2Fsdp%2Fgd%2Fdti&amp;viewpath=%2Fsites%2Fopptic%2Fsdp%2Fgd%2Fdti%2FForms%2FAllItems%2Easpx&amp;id=%2Fsites%2Fopptic%2Fsdp%2Fgd%2Fdti%2FCronogramas%20Iniciativas%20Prioridad%201%2FCorreos%20Solicitudes%20de%20Cambios%20de%20Iniciativas%2FRE%20Iniciativas%20Descartados%2Emsg&amp;parent=%2Fsites%2Fopptic%2Fsdp%2Fgd%2Fdti%2FCronogramas%20Iniciativas%20Prioridad%201%2FCorreos%20Solicitudes%20de%20Cambios%20de%20Iniciativas" TargetMode="External"/><Relationship Id="rId21" Type="http://schemas.openxmlformats.org/officeDocument/2006/relationships/hyperlink" Target="../../../../../../../../../:x:/r/sites/opptic/sdp/gd/ppm/Pruebas/Sof&#237;a%20Reyes%20Poli/Junior%20Alcides/Propuesta%20Cronograma%20Autom&#225;tico/Backup%20de%20Versiones%20Cronograma%20Iniciativas/Backup%20Propuesta%20de%20Cronograma%20Iniciativas%202026%20V11.xlsx?d=wfcae83af19654ea4bbf114dc67b2a467&amp;csf=1&amp;web=1&amp;e=5viOYH" TargetMode="External"/><Relationship Id="rId34" Type="http://schemas.openxmlformats.org/officeDocument/2006/relationships/table" Target="../tables/table5.xml"/><Relationship Id="rId7" Type="http://schemas.openxmlformats.org/officeDocument/2006/relationships/hyperlink" Target="../../../../../../../../../:x:/r/sites/opptic/sdp/gd/ppm/Pruebas/Sof&#237;a%20Reyes%20Poli/Junior%20Alcides/Propuesta%20Cronograma%20Autom&#225;tico/Backup%20de%20Versiones%20Cronograma%20Iniciativas/Backup%20Propuesta%20de%20Cronograma%20Iniciativas%202026%20V2.xlsx?d=w4443944e18c14a49a3c6aaf997f45765&amp;csf=1&amp;web=1&amp;e=nM27cr" TargetMode="External"/><Relationship Id="rId12" Type="http://schemas.openxmlformats.org/officeDocument/2006/relationships/hyperlink" Target="../../../../../../../../../:x:/r/sites/opptic/sdp/gd/_layouts/15/Doc.aspx?sourcedoc=%7B52279BA4-3DDE-4594-95E5-0E9CD6A0476A%7D&amp;file=Backup%20Propuesta%20de%20Cronograma%20Iniciativas%202026%20V7.xlsx&amp;action=default&amp;mobileredirect=true" TargetMode="External"/><Relationship Id="rId17" Type="http://schemas.openxmlformats.org/officeDocument/2006/relationships/hyperlink" Target="../../Forms/AllItems.aspx?viewid=53551213%2Df1f4%2D459f%2D89b6%2D20aaeaa5dc86&amp;newTargetListUrl=%2Fsites%2Fopptic%2Fsdp%2Fgd%2Fdti&amp;viewpath=%2Fsites%2Fopptic%2Fsdp%2Fgd%2Fdti%2FForms%2FAllItems%2Easpx&amp;id=%2Fsites%2Fopptic%2Fsdp%2Fgd%2Fdti%2FCronogramas%20Iniciativas%20Prioridad%201%2FCorreos%20Solicitudes%20de%20Cambios%20de%20Iniciativas%2FRV%20Reemplazo%20de%20Anexo2%20en%20el%20mantenimiento%20Enrolamiento%20en%20l%C3%ADnea%20%202da%20parte%20Migraci%C3%B3n%20BD%20y%20reporter%C3%ADa%2Emsg&amp;parent=%2Fsites%2Fopptic%2Fsdp%2Fgd%2Fdti%2FCronogramas%20Iniciativas%20Prioridad%201%2FCorreos%20Solicitudes%20de%20Cambios%20de%20Iniciativas" TargetMode="External"/><Relationship Id="rId25" Type="http://schemas.openxmlformats.org/officeDocument/2006/relationships/hyperlink" Target="../../Forms/AllItems.aspx?viewid=53551213%2Df1f4%2D459f%2D89b6%2D20aaeaa5dc86&amp;newTargetListUrl=%2Fsites%2Fopptic%2Fsdp%2Fgd%2Fdti&amp;viewpath=%2Fsites%2Fopptic%2Fsdp%2Fgd%2Fdti%2FForms%2FAllItems%2Easpx&amp;pageCorrelationId=16e515a2%2D503a%2Da000%2D49ef%2D2fdedc58cb5b&amp;timeStamp=1779465482291&amp;noAuthRedirect=1&amp;id=%2Fsites%2Fopptic%2Fsdp%2Fgd%2Fdti%2FCronogramas%20Iniciativas%20Prioridad%201%2FCorreos%20Solicitudes%20de%20Cambios%20de%20Iniciativas%2FINICIATIVAS%20BANCA%20DIGITAL%2Emsg&amp;parent=%2Fsites%2Fopptic%2Fsdp%2Fgd%2Fdti%2FCronogramas%20Iniciativas%20Prioridad%201%2FCorreos%20Solicitudes%20de%20Cambios%20de%20Iniciativas" TargetMode="External"/><Relationship Id="rId33" Type="http://schemas.openxmlformats.org/officeDocument/2006/relationships/hyperlink" Target="https://bnacion.sharepoint.com/:u:/r/sites/opptic/sdp/gd/dti/Cronogramas%20Iniciativas%20Prioridad%201/Correos%20Solicitudes%20de%20Cambios%20de%20Iniciativas/RE%20Se%20le%20ha%20enviado%20el%20documento%20f%C3%ADsico%20MEMORANDO%20N%2000000013%20-%202026-BN2222.msg?csf=1&amp;web=1&amp;e=YioekK" TargetMode="External"/><Relationship Id="rId2" Type="http://schemas.openxmlformats.org/officeDocument/2006/relationships/hyperlink" Target="../../Forms/AllItems.aspx?viewid=53551213%2Df1f4%2D459f%2D89b6%2D20aaeaa5dc86&amp;newTargetListUrl=%2Fsites%2Fopptic%2Fsdp%2Fgd%2Fdti&amp;viewpath=%2Fsites%2Fopptic%2Fsdp%2Fgd%2Fdti%2FForms%2FAllItems%2Easpx&amp;id=%2Fsites%2Fopptic%2Fsdp%2Fgd%2Fdti%2FCronogramas%20Iniciativas%20Prioridad%201%2FCorreos%20Solicitudes%20de%20Cambios%20de%20Iniciativas%2FRV%20INICIATIVAS%20DE%20LA%20SECCI%C3%93N%20CANALES%20VIRTUALES%20%2D%20BANCA%20DIGITAL%2Emsg&amp;parent=%2Fsites%2Fopptic%2Fsdp%2Fgd%2Fdti%2FCronogramas%20Iniciativas%20Prioridad%201%2FCorreos%20Solicitudes%20de%20Cambios%20de%20Iniciativas" TargetMode="External"/><Relationship Id="rId16" Type="http://schemas.openxmlformats.org/officeDocument/2006/relationships/hyperlink" Target="../../../../../../../../../:x:/r/sites/opptic/sdp/gd/_layouts/15/Doc.aspx?sourcedoc=%7B6D74B36F-130F-4D7C-BD0C-FF1BE177972C%7D&amp;file=Backup%20Propuesta%20de%20Cronograma%20Iniciativas%202026%20V9.xlsx&amp;action=default&amp;mobileredirect=true" TargetMode="External"/><Relationship Id="rId20" Type="http://schemas.openxmlformats.org/officeDocument/2006/relationships/hyperlink" Target="../../Forms/AllItems.aspx?viewid=53551213%2Df1f4%2D459f%2D89b6%2D20aaeaa5dc86&amp;newTargetListUrl=%2Fsites%2Fopptic%2Fsdp%2Fgd%2Fdti&amp;viewpath=%2Fsites%2Fopptic%2Fsdp%2Fgd%2Fdti%2FForms%2FAllItems%2Easpx&amp;or=EXCEL%2DWEB%2EBODY%2ENT&amp;ct=1779285205367&amp;id=%2Fsites%2Fopptic%2Fsdp%2Fgd%2Fdti%2FCronogramas%20Iniciativas%20Prioridad%201%2FCorreos%20Solicitudes%20de%20Cambios%20de%20Iniciativas%2FRV%20Requerimiento%20Adicionar%20campos%20nro%2E%20doc%2E%20sustento%20y%20expediente%20judicial%20%28Trx%202200%20Emisi%C3%B3n%20de%20certificado%20en%20MN%20y%20ME%29%2E%2Emsg&amp;parent=%2Fsites%2Fopptic%2Fsdp%2Fgd%2Fdti%2FCronogramas%20Iniciativas%20Prioridad%201%2FCorreos%20Solicitudes%20de%20Cambios%20de%20Iniciativas" TargetMode="External"/><Relationship Id="rId29" Type="http://schemas.openxmlformats.org/officeDocument/2006/relationships/hyperlink" Target="../../../../../../../../../:x:/r/sites/opptic/sdp/gd/ppm/Pruebas/Sof&#237;a%20Reyes%20Poli/Junior%20Alcides/Propuesta%20Cronograma%20Autom&#225;tico/Backup%20de%20Versiones%20Cronograma%20Iniciativas/Backup%20Propuesta%20de%20Cronograma%20Iniciativas%202026%20V15.xlsx?d=w80fa16962b6742759adf13f11c8b35eb&amp;csf=1&amp;web=1&amp;e=dm4T1c" TargetMode="External"/><Relationship Id="rId1" Type="http://schemas.openxmlformats.org/officeDocument/2006/relationships/hyperlink" Target="../../Forms/AllItems.aspx?viewid=53551213%2Df1f4%2D459f%2D89b6%2D20aaeaa5dc86&amp;newTargetListUrl=%2Fsites%2Fopptic%2Fsdp%2Fgd%2Fdti&amp;viewpath=%2Fsites%2Fopptic%2Fsdp%2Fgd%2Fdti%2FForms%2FAllItems%2Easpx&amp;id=%2Fsites%2Fopptic%2Fsdp%2Fgd%2Fdti%2FCronogramas%20Iniciativas%20Prioridad%201%2FCorreos%20Solicitudes%20de%20Cambios%20de%20Iniciativas%2FRV%20Iniciativas%2Emsg&amp;parent=%2Fsites%2Fopptic%2Fsdp%2Fgd%2Fdti%2FCronogramas%20Iniciativas%20Prioridad%201%2FCorreos%20Solicitudes%20de%20Cambios%20de%20Iniciativas" TargetMode="External"/><Relationship Id="rId6" Type="http://schemas.openxmlformats.org/officeDocument/2006/relationships/hyperlink" Target="../../../../../../../../../:x:/r/sites/opptic/sdp/gd/ppm/Pruebas/Sof&#237;a%20Reyes%20Poli/Junior%20Alcides/Propuesta%20Cronograma%20Autom&#225;tico/Backup%20de%20Versiones%20Cronograma%20Iniciativas/Backup%20Propuesta%20de%20Cronograma%20Iniciativas%202026%20-%20Proceso%20y%20Atentidos%20V1.xlsx?d=w64fd809a6e794e458d18c47f2f10463d&amp;csf=1&amp;web=1&amp;e=bWgmeU" TargetMode="External"/><Relationship Id="rId11" Type="http://schemas.openxmlformats.org/officeDocument/2006/relationships/hyperlink" Target="../../Forms/AllItems.aspx?viewid=53551213%2Df1f4%2D459f%2D89b6%2D20aaeaa5dc86&amp;newTargetListUrl=%2Fsites%2Fopptic%2Fsdp%2Fgd%2Fdti&amp;viewpath=%2Fsites%2Fopptic%2Fsdp%2Fgd%2Fdti%2FForms%2FAllItems%2Easpx&amp;id=%2Fsites%2Fopptic%2Fsdp%2Fgd%2Fdti%2FCronogramas%20Iniciativas%20Prioridad%201%2FCorreos%20Solicitudes%20de%20Cambios%20de%20Iniciativas%2FRV%20INCIATIVAS%20GERENCIA%20BANCA%20DIGITAL%2Emsg&amp;parent=%2Fsites%2Fopptic%2Fsdp%2Fgd%2Fdti%2FCronogramas%20Iniciativas%20Prioridad%201%2FCorreos%20Solicitudes%20de%20Cambios%20de%20Iniciativas" TargetMode="External"/><Relationship Id="rId24" Type="http://schemas.openxmlformats.org/officeDocument/2006/relationships/hyperlink" Target="../../../../../../../../../:x:/r/sites/opptic/sdp/gd/_layouts/15/Doc.aspx?sourcedoc=%7B3894CF91-BEB0-45C1-9106-48358195863A%7D&amp;file=Backup%20Propuesta%20de%20Cronograma%20Iniciativas%202026%20V13.xlsx&amp;action=default&amp;mobileredirect=true" TargetMode="External"/><Relationship Id="rId32" Type="http://schemas.openxmlformats.org/officeDocument/2006/relationships/hyperlink" Target="https://bnacion.sharepoint.com/:x:/r/sites/opptic/sdp/gd/dti/Cronogramas%20Iniciativas%20Prioridad%201/Backup%20de%20Versiones%20Cronograma%20Iniciativas/Backup%20Propuesta%20de%20Cronograma%20Iniciativas%202026%20Actualizado%20al%2022_05_2026%20V17.xlsx?d=w6bc651057acd4bde8a66dd1efc3fd6d1&amp;csf=1&amp;web=1&amp;e=HeQmg0" TargetMode="External"/><Relationship Id="rId5" Type="http://schemas.openxmlformats.org/officeDocument/2006/relationships/hyperlink" Target="../../Forms/AllItems.aspx?viewid=53551213%2Df1f4%2D459f%2D89b6%2D20aaeaa5dc86&amp;newTargetListUrl=%2Fsites%2Fopptic%2Fsdp%2Fgd%2Fdti&amp;viewpath=%2Fsites%2Fopptic%2Fsdp%2Fgd%2Fdti%2FForms%2FAllItems%2Easpx&amp;id=%2Fsites%2Fopptic%2Fsdp%2Fgd%2Fdti%2FCronogramas%20Iniciativas%20Prioridad%201%2FCorreos%20Solicitudes%20de%20Cambios%20de%20Iniciativas%2FRV%20Iniciativas%20TI%2Emsg&amp;parent=%2Fsites%2Fopptic%2Fsdp%2Fgd%2Fdti%2FCronogramas%20Iniciativas%20Prioridad%201%2FCorreos%20Solicitudes%20de%20Cambios%20de%20Iniciativas" TargetMode="External"/><Relationship Id="rId15" Type="http://schemas.openxmlformats.org/officeDocument/2006/relationships/hyperlink" Target="../../../../../../../../../:x:/r/sites/opptic/sdp/gd/ppm/Pruebas/Sof&#237;a%20Reyes%20Poli/Junior%20Alcides/Propuesta%20Cronograma%20Autom&#225;tico/Backup%20de%20Versiones%20Cronograma%20Iniciativas/Backup%20Propuesta%20de%20Cronograma%20Iniciativas%202026%20V8.xlsx?d=wb4732c5a0a5144beb85ff6b484e97545&amp;csf=1&amp;web=1&amp;e=9lv23M" TargetMode="External"/><Relationship Id="rId23" Type="http://schemas.openxmlformats.org/officeDocument/2006/relationships/hyperlink" Target="../../../../../../../../../:x:/r/sites/opptic/sdp/gd/_layouts/15/Doc.aspx?sourcedoc=%7B21D262CE-DFDE-4060-8FBF-18DEBC587610%7D&amp;file=Backup%20Propuesta%20de%20Cronograma%20Iniciativas%202026%20V12.xlsx&amp;action=default&amp;mobileredirect=true" TargetMode="External"/><Relationship Id="rId28" Type="http://schemas.openxmlformats.org/officeDocument/2006/relationships/hyperlink" Target="../../Forms/AllItems.aspx?viewid=53551213%2Df1f4%2D459f%2D89b6%2D20aaeaa5dc86&amp;newTargetListUrl=%2Fsites%2Fopptic%2Fsdp%2Fgd%2Fdti&amp;viewpath=%2Fsites%2Fopptic%2Fsdp%2Fgd%2Fdti%2FForms%2FAllItems%2Easpx&amp;id=%2Fsites%2Fopptic%2Fsdp%2Fgd%2Fdti%2FCronogramas%20Iniciativas%20Prioridad%201%2FCorreos%20Solicitudes%20de%20Cambios%20de%20Iniciativas%2FRetiro%20de%20Lista%20de%20Iniciativas%2Emsg&amp;parent=%2Fsites%2Fopptic%2Fsdp%2Fgd%2Fdti%2FCronogramas%20Iniciativas%20Prioridad%201%2FCorreos%20Solicitudes%20de%20Cambios%20de%20Iniciativas" TargetMode="External"/><Relationship Id="rId10" Type="http://schemas.openxmlformats.org/officeDocument/2006/relationships/hyperlink" Target="../../../../../../../../../:x:/r/sites/opptic/sdp/gd/ppm/Pruebas/Sof&#237;a%20Reyes%20Poli/Junior%20Alcides/Propuesta%20Cronograma%20Autom&#225;tico/Backup%20de%20Versiones%20Cronograma%20Iniciativas/Backup%20Propuesta%20de%20Cronograma%20Iniciativas%202026%20V6.xlsx?d=w32629051fd7e4f4ead8057e987d5a0b3&amp;csf=1&amp;web=1&amp;e=egmPrB" TargetMode="External"/><Relationship Id="rId19" Type="http://schemas.openxmlformats.org/officeDocument/2006/relationships/hyperlink" Target="../../Forms/AllItems.aspx?viewid=53551213%2Df1f4%2D459f%2D89b6%2D20aaeaa5dc86&amp;newTargetListUrl=%2Fsites%2Fopptic%2Fsdp%2Fgd%2Fdti&amp;viewpath=%2Fsites%2Fopptic%2Fsdp%2Fgd%2Fdti%2FForms%2FAllItems%2Easpx&amp;id=%2Fsites%2Fopptic%2Fsdp%2Fgd%2Fdti%2FCronogramas%20Iniciativas%20Prioridad%201%2FCorreos%20Solicitudes%20de%20Cambios%20de%20Iniciativas%2FRV%20MEMORANDO%20N%2000000001%20%2D%202026%2DBN1201%20%2D%20Requerimientos%20de%20Mejoras%20en%20Registro%20de%20Operaciones%20%2Emsg&amp;parent=%2Fsites%2Fopptic%2Fsdp%2Fgd%2Fdti%2FCronogramas%20Iniciativas%20Prioridad%201%2FCorreos%20Solicitudes%20de%20Cambios%20de%20Iniciativas" TargetMode="External"/><Relationship Id="rId31" Type="http://schemas.openxmlformats.org/officeDocument/2006/relationships/hyperlink" Target="https://bnacion.sharepoint.com/:x:/r/sites/opptic/sdp/gd/_layouts/15/Doc.aspx?sourcedoc=%7BB0A959F4-A345-4B50-801A-0431EA247628%7D&amp;file=Backup%20Propuesta%20de%20Cronograma%20Iniciativas%202026%20Actualizado%20al%2022_05_2026%20V16.xlsx&amp;action=default&amp;mobileredirect=true" TargetMode="External"/><Relationship Id="rId4" Type="http://schemas.openxmlformats.org/officeDocument/2006/relationships/hyperlink" Target="../../Forms/AllItems.aspx?viewid=53551213%2Df1f4%2D459f%2D89b6%2D20aaeaa5dc86&amp;newTargetListUrl=%2Fsites%2Fopptic%2Fsdp%2Fgd%2Fdti&amp;viewpath=%2Fsites%2Fopptic%2Fsdp%2Fgd%2Fdti%2FForms%2FAllItems%2Easpx&amp;id=%2Fsites%2Fopptic%2Fsdp%2Fgd%2Fdti%2FCronogramas%20Iniciativas%20Prioridad%201%2FCorreos%20Solicitudes%20de%20Cambios%20de%20Iniciativas%2FRE%20Banca%20Digital%20Archivo%20Propuesta%20de%20Cronograma%20Iniciativas%202026%2Emsg&amp;parent=%2Fsites%2Fopptic%2Fsdp%2Fgd%2Fdti%2FCronogramas%20Iniciativas%20Prioridad%201%2FCorreos%20Solicitudes%20de%20Cambios%20de%20Iniciativas" TargetMode="External"/><Relationship Id="rId9" Type="http://schemas.openxmlformats.org/officeDocument/2006/relationships/hyperlink" Target="../../../../../../../../../:x:/r/sites/opptic/sdp/gd/ppm/Pruebas/Sof&#237;a%20Reyes%20Poli/Junior%20Alcides/Propuesta%20Cronograma%20Autom&#225;tico/Backup%20de%20Versiones%20Cronograma%20Iniciativas/Backlup%20Propuesta%20de%20Cronograma%20Iniciativas%202026%20V5.xlsx?d=w2fa479f3f7774289b8e6ed6b907c308f&amp;csf=1&amp;web=1&amp;e=Yfekop" TargetMode="External"/><Relationship Id="rId14" Type="http://schemas.openxmlformats.org/officeDocument/2006/relationships/hyperlink" Target="../../Forms/AllItems.aspx?viewid=53551213%2Df1f4%2D459f%2D89b6%2D20aaeaa5dc86&amp;newTargetListUrl=%2Fsites%2Fopptic%2Fsdp%2Fgd%2Fdti&amp;viewpath=%2Fsites%2Fopptic%2Fsdp%2Fgd%2Fdti%2FForms%2FAllItems%2Easpx&amp;id=%2Fsites%2Fopptic%2Fsdp%2Fgd%2Fdti%2FCronogramas%20Iniciativas%20Prioridad%201%2FCorreos%20Solicitudes%20de%20Cambios%20de%20Iniciativas%2FRV%20Nueva%20iniciativa%20con%20prioridad%201%2Emsg&amp;parent=%2Fsites%2Fopptic%2Fsdp%2Fgd%2Fdti%2FCronogramas%20Iniciativas%20Prioridad%201%2FCorreos%20Solicitudes%20de%20Cambios%20de%20Iniciativas" TargetMode="External"/><Relationship Id="rId22" Type="http://schemas.openxmlformats.org/officeDocument/2006/relationships/hyperlink" Target="../../Forms/AllItems.aspx?viewid=53551213%2Df1f4%2D459f%2D89b6%2D20aaeaa5dc86&amp;newTargetListUrl=%2Fsites%2Fopptic%2Fsdp%2Fgd%2Fdti&amp;viewpath=%2Fsites%2Fopptic%2Fsdp%2Fgd%2Fdti%2FForms%2FAllItems%2Easpx&amp;id=%2Fsites%2Fopptic%2Fsdp%2Fgd%2Fdti%2FCronogramas%20Iniciativas%20Prioridad%201%2FCorreos%20Solicitudes%20de%20Cambios%20de%20Iniciativas%2FRE%20Se%20agrego%20nueva%20iniciativa%20Red%20de%20Agencias%2Emsg&amp;parent=%2Fsites%2Fopptic%2Fsdp%2Fgd%2Fdti%2FCronogramas%20Iniciativas%20Prioridad%201%2FCorreos%20Solicitudes%20de%20Cambios%20de%20Iniciativas" TargetMode="External"/><Relationship Id="rId27" Type="http://schemas.openxmlformats.org/officeDocument/2006/relationships/hyperlink" Target="../../../_layouts/15/Doc.aspx?sourcedoc=%7B3CCCC619-108A-42AC-8651-F3E949679B1C%7D&amp;file=Backup%20Propuesta%20de%20Cronograma%20Iniciativas%202026%20V14.xlsx&amp;action=default&amp;mobileredirect=true&amp;CT=1779465873971&amp;OR=ItemsView" TargetMode="External"/><Relationship Id="rId30" Type="http://schemas.openxmlformats.org/officeDocument/2006/relationships/hyperlink" Target="https://bnacion.sharepoint.com/sites/opptic/sdp/gd/dti/Forms/AllItems.aspx?viewid=53551213%2Df1f4%2D459f%2D89b6%2D20aaeaa5dc86&amp;id=%2Fsites%2Fopptic%2Fsdp%2Fgd%2Fdti%2FCronogramas%20Iniciativas%20Prioridad%201%2FCorreos%20Solicitudes%20de%20Cambios%20de%20Iniciativas%2FRE%20Se%20le%20ha%20enviado%20el%20documento%20f%C3%ADsico%20MEMORANDO%20N%2000000014%20%2D%202026%2DBN2222%2Emsg&amp;parent=%2Fsites%2Fopptic%2Fsdp%2Fgd%2Fdti%2FCronogramas%20Iniciativas%20Prioridad%201%2FCorreos%20Solicitudes%20de%20Cambios%20de%20Iniciativas" TargetMode="External"/><Relationship Id="rId8" Type="http://schemas.openxmlformats.org/officeDocument/2006/relationships/hyperlink" Target="../../../../../../../../../:x:/r/sites/opptic/sdp/gd/ppm/Pruebas/Sof&#237;a%20Reyes%20Poli/Junior%20Alcides/Propuesta%20Cronograma%20Autom&#225;tico/Backup%20de%20Versiones%20Cronograma%20Iniciativas/Backup%20Propuesta%20de%20Cronograma%20Iniciativas%202026%20V4.xlsx?d=w342d38cfb0b247c3873b4e56eec3a0e5&amp;csf=1&amp;web=1&amp;e=5DalU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BCE7A-69CF-4CC8-91B0-35D31BC1237F}">
  <dimension ref="A1:AA6"/>
  <sheetViews>
    <sheetView workbookViewId="0">
      <selection activeCell="A7" sqref="A7"/>
    </sheetView>
  </sheetViews>
  <sheetFormatPr baseColWidth="10" defaultColWidth="8.88671875" defaultRowHeight="14.4"/>
  <cols>
    <col min="1" max="1" width="88.33203125" bestFit="1" customWidth="1"/>
    <col min="2" max="2" width="11.6640625" bestFit="1" customWidth="1"/>
    <col min="3" max="3" width="20.44140625" bestFit="1" customWidth="1"/>
    <col min="4" max="4" width="30" bestFit="1" customWidth="1"/>
    <col min="5" max="5" width="10.44140625" bestFit="1" customWidth="1"/>
    <col min="6" max="6" width="12.44140625" bestFit="1" customWidth="1"/>
    <col min="7" max="7" width="15.88671875" bestFit="1" customWidth="1"/>
    <col min="8" max="8" width="16.109375" bestFit="1" customWidth="1"/>
    <col min="9" max="9" width="40.88671875" bestFit="1" customWidth="1"/>
    <col min="10" max="10" width="16.109375" bestFit="1" customWidth="1"/>
    <col min="11" max="11" width="15.109375" bestFit="1" customWidth="1"/>
    <col min="12" max="12" width="32.109375" bestFit="1" customWidth="1"/>
    <col min="13" max="13" width="18.6640625" bestFit="1" customWidth="1"/>
    <col min="14" max="14" width="26" bestFit="1" customWidth="1"/>
    <col min="15" max="15" width="15.6640625" bestFit="1" customWidth="1"/>
    <col min="16" max="16" width="13.88671875" bestFit="1" customWidth="1"/>
    <col min="17" max="17" width="22.109375" bestFit="1" customWidth="1"/>
    <col min="18" max="18" width="16" bestFit="1" customWidth="1"/>
    <col min="19" max="19" width="19.44140625" bestFit="1" customWidth="1"/>
    <col min="20" max="20" width="13.109375" bestFit="1" customWidth="1"/>
    <col min="21" max="21" width="22.88671875" bestFit="1" customWidth="1"/>
    <col min="22" max="22" width="16.6640625" bestFit="1" customWidth="1"/>
    <col min="23" max="23" width="17.44140625" bestFit="1" customWidth="1"/>
    <col min="24" max="24" width="18" bestFit="1" customWidth="1"/>
    <col min="25" max="25" width="16.5546875" bestFit="1" customWidth="1"/>
    <col min="26" max="26" width="18.44140625" bestFit="1" customWidth="1"/>
    <col min="27" max="27" width="19.44140625" bestFit="1" customWidth="1"/>
  </cols>
  <sheetData>
    <row r="1" spans="1:27">
      <c r="A1" s="6" t="s">
        <v>0</v>
      </c>
    </row>
    <row r="3" spans="1:27">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row>
    <row r="4" spans="1:27">
      <c r="A4" t="s">
        <v>28</v>
      </c>
      <c r="B4">
        <v>1</v>
      </c>
      <c r="C4">
        <v>14</v>
      </c>
      <c r="D4" t="s">
        <v>29</v>
      </c>
      <c r="E4" t="s">
        <v>30</v>
      </c>
      <c r="F4" t="s">
        <v>31</v>
      </c>
      <c r="G4" t="s">
        <v>32</v>
      </c>
      <c r="H4" t="s">
        <v>33</v>
      </c>
      <c r="I4" t="s">
        <v>34</v>
      </c>
      <c r="J4" t="s">
        <v>35</v>
      </c>
      <c r="K4" t="s">
        <v>36</v>
      </c>
      <c r="L4" t="s">
        <v>37</v>
      </c>
      <c r="M4" t="s">
        <v>38</v>
      </c>
      <c r="N4" t="s">
        <v>39</v>
      </c>
      <c r="O4" t="s">
        <v>40</v>
      </c>
      <c r="Q4" s="4">
        <v>46301</v>
      </c>
      <c r="R4" s="4">
        <v>46400</v>
      </c>
      <c r="S4" s="4">
        <v>46407</v>
      </c>
      <c r="T4" s="4">
        <v>46463</v>
      </c>
      <c r="U4" s="4">
        <v>46470</v>
      </c>
      <c r="V4" s="4">
        <v>46479</v>
      </c>
      <c r="W4">
        <v>178</v>
      </c>
      <c r="X4" t="s">
        <v>41</v>
      </c>
      <c r="Y4" t="s">
        <v>42</v>
      </c>
      <c r="Z4" t="s">
        <v>43</v>
      </c>
      <c r="AA4" t="s">
        <v>44</v>
      </c>
    </row>
    <row r="5" spans="1:27">
      <c r="A5" t="s">
        <v>45</v>
      </c>
      <c r="B5">
        <v>1</v>
      </c>
      <c r="C5">
        <v>2</v>
      </c>
      <c r="D5" t="s">
        <v>46</v>
      </c>
      <c r="E5" t="s">
        <v>47</v>
      </c>
      <c r="F5" t="s">
        <v>31</v>
      </c>
      <c r="G5" t="s">
        <v>32</v>
      </c>
      <c r="H5" t="s">
        <v>33</v>
      </c>
      <c r="I5" t="s">
        <v>48</v>
      </c>
      <c r="J5" t="s">
        <v>35</v>
      </c>
      <c r="K5" t="s">
        <v>49</v>
      </c>
      <c r="L5" t="s">
        <v>37</v>
      </c>
      <c r="M5" t="s">
        <v>38</v>
      </c>
      <c r="N5" t="s">
        <v>50</v>
      </c>
      <c r="O5" t="s">
        <v>40</v>
      </c>
      <c r="Q5" s="4">
        <v>46204</v>
      </c>
      <c r="R5" s="4">
        <v>46367</v>
      </c>
      <c r="S5" s="4">
        <v>46374</v>
      </c>
      <c r="T5" s="4">
        <v>46448</v>
      </c>
      <c r="U5" s="4">
        <v>46455</v>
      </c>
      <c r="V5" s="4">
        <v>46469</v>
      </c>
      <c r="W5">
        <v>265</v>
      </c>
      <c r="X5" t="s">
        <v>41</v>
      </c>
      <c r="Y5" t="s">
        <v>42</v>
      </c>
      <c r="Z5" t="s">
        <v>43</v>
      </c>
      <c r="AA5" t="s">
        <v>44</v>
      </c>
    </row>
    <row r="6" spans="1:27">
      <c r="A6" t="s">
        <v>51</v>
      </c>
      <c r="B6">
        <v>1</v>
      </c>
      <c r="C6" t="s">
        <v>52</v>
      </c>
      <c r="D6" t="s">
        <v>46</v>
      </c>
      <c r="E6" t="s">
        <v>47</v>
      </c>
      <c r="F6" t="s">
        <v>31</v>
      </c>
      <c r="G6" t="s">
        <v>32</v>
      </c>
      <c r="H6" t="s">
        <v>33</v>
      </c>
      <c r="I6" t="s">
        <v>53</v>
      </c>
      <c r="J6" t="s">
        <v>35</v>
      </c>
      <c r="K6" t="s">
        <v>54</v>
      </c>
      <c r="L6" t="s">
        <v>37</v>
      </c>
      <c r="M6" t="s">
        <v>55</v>
      </c>
      <c r="N6" t="s">
        <v>56</v>
      </c>
      <c r="O6" t="s">
        <v>40</v>
      </c>
      <c r="Q6" s="4">
        <v>46204</v>
      </c>
      <c r="R6" s="4">
        <v>46367</v>
      </c>
      <c r="S6" s="4">
        <v>46374</v>
      </c>
      <c r="T6" s="4">
        <v>46448</v>
      </c>
      <c r="U6" s="4">
        <v>46455</v>
      </c>
      <c r="V6" s="4">
        <v>46469</v>
      </c>
      <c r="W6">
        <v>265</v>
      </c>
      <c r="X6" t="s">
        <v>41</v>
      </c>
      <c r="Y6" t="s">
        <v>42</v>
      </c>
      <c r="Z6" t="s">
        <v>43</v>
      </c>
      <c r="AA6" t="s">
        <v>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FFC000"/>
  </sheetPr>
  <dimension ref="A1:AJ121"/>
  <sheetViews>
    <sheetView showGridLines="0" tabSelected="1" topLeftCell="A37" zoomScale="80" zoomScaleNormal="80" workbookViewId="0">
      <selection activeCell="B61" sqref="B61"/>
    </sheetView>
  </sheetViews>
  <sheetFormatPr baseColWidth="10" defaultColWidth="9.109375" defaultRowHeight="14.4"/>
  <cols>
    <col min="1" max="1" width="36" bestFit="1" customWidth="1"/>
    <col min="2" max="18" width="25.77734375" bestFit="1" customWidth="1"/>
    <col min="19" max="19" width="12.44140625" bestFit="1" customWidth="1"/>
    <col min="20" max="20" width="12.88671875" bestFit="1" customWidth="1"/>
    <col min="22" max="22" width="34" customWidth="1"/>
    <col min="23" max="23" width="16.6640625" bestFit="1" customWidth="1"/>
    <col min="24" max="24" width="17.33203125" bestFit="1" customWidth="1"/>
    <col min="25" max="27" width="16.6640625" bestFit="1" customWidth="1"/>
    <col min="28" max="28" width="17.33203125" bestFit="1" customWidth="1"/>
    <col min="29" max="31" width="16.6640625" bestFit="1" customWidth="1"/>
    <col min="32" max="32" width="17.33203125" bestFit="1" customWidth="1"/>
    <col min="33" max="34" width="16.6640625" bestFit="1" customWidth="1"/>
    <col min="35" max="35" width="9.6640625" customWidth="1"/>
    <col min="36" max="36" width="16.33203125" bestFit="1" customWidth="1"/>
  </cols>
  <sheetData>
    <row r="1" spans="1:14" ht="29.25" customHeight="1"/>
    <row r="2" spans="1:14" ht="42" customHeight="1"/>
    <row r="3" spans="1:14">
      <c r="A3" s="2" t="s">
        <v>57</v>
      </c>
      <c r="B3" s="2" t="s">
        <v>58</v>
      </c>
      <c r="G3" s="2" t="s">
        <v>59</v>
      </c>
      <c r="H3" s="2" t="s">
        <v>11</v>
      </c>
    </row>
    <row r="4" spans="1:14">
      <c r="A4" s="2" t="s">
        <v>6</v>
      </c>
      <c r="B4" s="1" t="s">
        <v>60</v>
      </c>
      <c r="C4" s="1" t="s">
        <v>35</v>
      </c>
      <c r="D4" s="1" t="s">
        <v>61</v>
      </c>
      <c r="G4" s="2" t="s">
        <v>6</v>
      </c>
      <c r="H4" t="s">
        <v>62</v>
      </c>
      <c r="I4" t="s">
        <v>54</v>
      </c>
      <c r="J4" t="s">
        <v>63</v>
      </c>
      <c r="K4" t="s">
        <v>36</v>
      </c>
      <c r="L4" t="s">
        <v>64</v>
      </c>
      <c r="M4" t="s">
        <v>49</v>
      </c>
      <c r="N4" s="1" t="s">
        <v>61</v>
      </c>
    </row>
    <row r="5" spans="1:14">
      <c r="A5" t="s">
        <v>31</v>
      </c>
      <c r="B5" s="287">
        <v>1</v>
      </c>
      <c r="C5" s="287">
        <v>50</v>
      </c>
      <c r="D5" s="287">
        <v>51</v>
      </c>
      <c r="G5" t="s">
        <v>31</v>
      </c>
      <c r="H5" s="287">
        <v>5</v>
      </c>
      <c r="I5" s="287">
        <v>13</v>
      </c>
      <c r="J5" s="287">
        <v>7</v>
      </c>
      <c r="K5" s="287">
        <v>9</v>
      </c>
      <c r="L5" s="287">
        <v>1</v>
      </c>
      <c r="M5" s="287">
        <v>16</v>
      </c>
      <c r="N5" s="287">
        <v>51</v>
      </c>
    </row>
    <row r="6" spans="1:14">
      <c r="A6" t="s">
        <v>65</v>
      </c>
      <c r="B6" s="287"/>
      <c r="C6" s="287">
        <v>6</v>
      </c>
      <c r="D6" s="287">
        <v>6</v>
      </c>
      <c r="G6" t="s">
        <v>65</v>
      </c>
      <c r="H6" s="287"/>
      <c r="I6" s="287">
        <v>1</v>
      </c>
      <c r="J6" s="287">
        <v>5</v>
      </c>
      <c r="K6" s="287"/>
      <c r="L6" s="287"/>
      <c r="M6" s="287"/>
      <c r="N6" s="287">
        <v>6</v>
      </c>
    </row>
    <row r="7" spans="1:14">
      <c r="A7" t="s">
        <v>66</v>
      </c>
      <c r="B7" s="287"/>
      <c r="C7" s="287">
        <v>42</v>
      </c>
      <c r="D7" s="287">
        <v>42</v>
      </c>
      <c r="G7" t="s">
        <v>66</v>
      </c>
      <c r="H7" s="287">
        <v>2</v>
      </c>
      <c r="I7" s="287">
        <v>15</v>
      </c>
      <c r="J7" s="287">
        <v>1</v>
      </c>
      <c r="K7" s="287">
        <v>24</v>
      </c>
      <c r="L7" s="287"/>
      <c r="M7" s="287"/>
      <c r="N7" s="287">
        <v>42</v>
      </c>
    </row>
    <row r="8" spans="1:14">
      <c r="A8" t="s">
        <v>67</v>
      </c>
      <c r="B8" s="287"/>
      <c r="C8" s="287">
        <v>2</v>
      </c>
      <c r="D8" s="287">
        <v>2</v>
      </c>
      <c r="G8" t="s">
        <v>67</v>
      </c>
      <c r="H8" s="287"/>
      <c r="I8" s="287">
        <v>2</v>
      </c>
      <c r="J8" s="287"/>
      <c r="K8" s="287"/>
      <c r="L8" s="287"/>
      <c r="M8" s="287"/>
      <c r="N8" s="287">
        <v>2</v>
      </c>
    </row>
    <row r="9" spans="1:14">
      <c r="A9" t="s">
        <v>68</v>
      </c>
      <c r="B9" s="287"/>
      <c r="C9" s="287">
        <v>16</v>
      </c>
      <c r="D9" s="287">
        <v>16</v>
      </c>
      <c r="G9" t="s">
        <v>68</v>
      </c>
      <c r="H9" s="287">
        <v>1</v>
      </c>
      <c r="I9" s="287">
        <v>5</v>
      </c>
      <c r="J9" s="287">
        <v>4</v>
      </c>
      <c r="K9" s="287">
        <v>6</v>
      </c>
      <c r="L9" s="287"/>
      <c r="M9" s="287"/>
      <c r="N9" s="287">
        <v>16</v>
      </c>
    </row>
    <row r="10" spans="1:14">
      <c r="A10" t="s">
        <v>69</v>
      </c>
      <c r="B10" s="287"/>
      <c r="C10" s="287">
        <v>2</v>
      </c>
      <c r="D10" s="287">
        <v>2</v>
      </c>
      <c r="G10" t="s">
        <v>69</v>
      </c>
      <c r="H10" s="287"/>
      <c r="I10" s="287">
        <v>1</v>
      </c>
      <c r="J10" s="287">
        <v>1</v>
      </c>
      <c r="K10" s="287"/>
      <c r="L10" s="287"/>
      <c r="M10" s="287"/>
      <c r="N10" s="287">
        <v>2</v>
      </c>
    </row>
    <row r="11" spans="1:14">
      <c r="A11" t="s">
        <v>70</v>
      </c>
      <c r="B11" s="287"/>
      <c r="C11" s="287">
        <v>6</v>
      </c>
      <c r="D11" s="287">
        <v>6</v>
      </c>
      <c r="G11" t="s">
        <v>70</v>
      </c>
      <c r="H11" s="287"/>
      <c r="I11" s="287"/>
      <c r="J11" s="287">
        <v>3</v>
      </c>
      <c r="K11" s="287">
        <v>3</v>
      </c>
      <c r="L11" s="287"/>
      <c r="M11" s="287"/>
      <c r="N11" s="287">
        <v>6</v>
      </c>
    </row>
    <row r="12" spans="1:14">
      <c r="A12" t="s">
        <v>71</v>
      </c>
      <c r="B12" s="287"/>
      <c r="C12" s="287">
        <v>1</v>
      </c>
      <c r="D12" s="287">
        <v>1</v>
      </c>
      <c r="G12" t="s">
        <v>71</v>
      </c>
      <c r="H12" s="287"/>
      <c r="I12" s="287"/>
      <c r="J12" s="287">
        <v>1</v>
      </c>
      <c r="K12" s="287"/>
      <c r="L12" s="287"/>
      <c r="M12" s="287"/>
      <c r="N12" s="287">
        <v>1</v>
      </c>
    </row>
    <row r="13" spans="1:14">
      <c r="A13" t="s">
        <v>72</v>
      </c>
      <c r="B13" s="287"/>
      <c r="C13" s="287">
        <v>2</v>
      </c>
      <c r="D13" s="287">
        <v>2</v>
      </c>
      <c r="G13" t="s">
        <v>72</v>
      </c>
      <c r="H13" s="287"/>
      <c r="I13" s="287">
        <v>1</v>
      </c>
      <c r="J13" s="287">
        <v>1</v>
      </c>
      <c r="K13" s="287"/>
      <c r="L13" s="287"/>
      <c r="M13" s="287"/>
      <c r="N13" s="287">
        <v>2</v>
      </c>
    </row>
    <row r="14" spans="1:14">
      <c r="A14" t="s">
        <v>61</v>
      </c>
      <c r="B14" s="287">
        <v>1</v>
      </c>
      <c r="C14" s="287">
        <v>127</v>
      </c>
      <c r="D14" s="287">
        <v>128</v>
      </c>
      <c r="G14" t="s">
        <v>61</v>
      </c>
      <c r="H14" s="287">
        <v>8</v>
      </c>
      <c r="I14" s="287">
        <v>38</v>
      </c>
      <c r="J14" s="287">
        <v>23</v>
      </c>
      <c r="K14" s="287">
        <v>42</v>
      </c>
      <c r="L14" s="287">
        <v>1</v>
      </c>
      <c r="M14" s="287">
        <v>16</v>
      </c>
      <c r="N14" s="287">
        <v>128</v>
      </c>
    </row>
    <row r="19" spans="1:8">
      <c r="B19" s="1"/>
      <c r="C19" s="1"/>
      <c r="D19" s="1"/>
      <c r="E19" s="1"/>
    </row>
    <row r="26" spans="1:8">
      <c r="A26" s="2" t="s">
        <v>73</v>
      </c>
      <c r="B26" s="2" t="s">
        <v>5</v>
      </c>
    </row>
    <row r="27" spans="1:8">
      <c r="A27" s="2" t="s">
        <v>6</v>
      </c>
      <c r="B27" t="s">
        <v>47</v>
      </c>
      <c r="C27" t="s">
        <v>30</v>
      </c>
      <c r="D27" t="s">
        <v>74</v>
      </c>
      <c r="E27" t="s">
        <v>75</v>
      </c>
      <c r="F27" t="s">
        <v>76</v>
      </c>
      <c r="G27" t="s">
        <v>77</v>
      </c>
      <c r="H27" s="1" t="s">
        <v>61</v>
      </c>
    </row>
    <row r="28" spans="1:8">
      <c r="A28" t="s">
        <v>31</v>
      </c>
      <c r="B28" s="287">
        <v>11</v>
      </c>
      <c r="C28" s="287">
        <v>29</v>
      </c>
      <c r="D28" s="287">
        <v>7</v>
      </c>
      <c r="E28" s="287">
        <v>4</v>
      </c>
      <c r="F28" s="287"/>
      <c r="G28" s="287"/>
      <c r="H28" s="287">
        <v>51</v>
      </c>
    </row>
    <row r="29" spans="1:8">
      <c r="A29" t="s">
        <v>65</v>
      </c>
      <c r="B29" s="287">
        <v>1</v>
      </c>
      <c r="C29" s="287">
        <v>4</v>
      </c>
      <c r="D29" s="287">
        <v>1</v>
      </c>
      <c r="E29" s="287"/>
      <c r="F29" s="287"/>
      <c r="G29" s="287"/>
      <c r="H29" s="287">
        <v>6</v>
      </c>
    </row>
    <row r="30" spans="1:8">
      <c r="A30" t="s">
        <v>66</v>
      </c>
      <c r="B30" s="287">
        <v>8</v>
      </c>
      <c r="C30" s="287">
        <v>18</v>
      </c>
      <c r="D30" s="287">
        <v>3</v>
      </c>
      <c r="E30" s="287">
        <v>6</v>
      </c>
      <c r="F30" s="287">
        <v>7</v>
      </c>
      <c r="G30" s="287"/>
      <c r="H30" s="287">
        <v>42</v>
      </c>
    </row>
    <row r="31" spans="1:8">
      <c r="A31" t="s">
        <v>67</v>
      </c>
      <c r="B31" s="287"/>
      <c r="C31" s="287">
        <v>1</v>
      </c>
      <c r="D31" s="287">
        <v>1</v>
      </c>
      <c r="E31" s="287"/>
      <c r="F31" s="287"/>
      <c r="G31" s="287"/>
      <c r="H31" s="287">
        <v>2</v>
      </c>
    </row>
    <row r="32" spans="1:8">
      <c r="A32" t="s">
        <v>68</v>
      </c>
      <c r="B32" s="287"/>
      <c r="C32" s="287">
        <v>11</v>
      </c>
      <c r="D32" s="287">
        <v>2</v>
      </c>
      <c r="E32" s="287"/>
      <c r="F32" s="287">
        <v>3</v>
      </c>
      <c r="G32" s="287"/>
      <c r="H32" s="287">
        <v>16</v>
      </c>
    </row>
    <row r="33" spans="1:8">
      <c r="A33" t="s">
        <v>69</v>
      </c>
      <c r="B33" s="287"/>
      <c r="C33" s="287">
        <v>1</v>
      </c>
      <c r="D33" s="287"/>
      <c r="E33" s="287"/>
      <c r="F33" s="287"/>
      <c r="G33" s="287">
        <v>1</v>
      </c>
      <c r="H33" s="287">
        <v>2</v>
      </c>
    </row>
    <row r="34" spans="1:8">
      <c r="A34" t="s">
        <v>70</v>
      </c>
      <c r="B34" s="287">
        <v>1</v>
      </c>
      <c r="C34" s="287">
        <v>2</v>
      </c>
      <c r="D34" s="287"/>
      <c r="E34" s="287">
        <v>2</v>
      </c>
      <c r="F34" s="287"/>
      <c r="G34" s="287">
        <v>1</v>
      </c>
      <c r="H34" s="287">
        <v>6</v>
      </c>
    </row>
    <row r="35" spans="1:8">
      <c r="A35" t="s">
        <v>71</v>
      </c>
      <c r="B35" s="287"/>
      <c r="C35" s="287">
        <v>1</v>
      </c>
      <c r="D35" s="287"/>
      <c r="E35" s="287"/>
      <c r="F35" s="287"/>
      <c r="G35" s="287"/>
      <c r="H35" s="287">
        <v>1</v>
      </c>
    </row>
    <row r="36" spans="1:8">
      <c r="A36" t="s">
        <v>72</v>
      </c>
      <c r="B36" s="287"/>
      <c r="C36" s="287">
        <v>1</v>
      </c>
      <c r="D36" s="287"/>
      <c r="E36" s="287"/>
      <c r="F36" s="287">
        <v>1</v>
      </c>
      <c r="G36" s="287"/>
      <c r="H36" s="287">
        <v>2</v>
      </c>
    </row>
    <row r="37" spans="1:8">
      <c r="A37" t="s">
        <v>61</v>
      </c>
      <c r="B37" s="287">
        <v>21</v>
      </c>
      <c r="C37" s="287">
        <v>68</v>
      </c>
      <c r="D37" s="287">
        <v>14</v>
      </c>
      <c r="E37" s="287">
        <v>12</v>
      </c>
      <c r="F37" s="287">
        <v>11</v>
      </c>
      <c r="G37" s="287">
        <v>2</v>
      </c>
      <c r="H37" s="287">
        <v>128</v>
      </c>
    </row>
    <row r="44" spans="1:8">
      <c r="A44" s="2" t="s">
        <v>6</v>
      </c>
      <c r="B44" s="1" t="s">
        <v>78</v>
      </c>
    </row>
    <row r="45" spans="1:8">
      <c r="A45" t="s">
        <v>31</v>
      </c>
      <c r="B45" s="287">
        <v>51</v>
      </c>
    </row>
    <row r="46" spans="1:8">
      <c r="A46" t="s">
        <v>65</v>
      </c>
      <c r="B46" s="287">
        <v>6</v>
      </c>
    </row>
    <row r="47" spans="1:8">
      <c r="A47" t="s">
        <v>66</v>
      </c>
      <c r="B47" s="287">
        <v>42</v>
      </c>
    </row>
    <row r="48" spans="1:8">
      <c r="A48" t="s">
        <v>67</v>
      </c>
      <c r="B48" s="287">
        <v>2</v>
      </c>
    </row>
    <row r="49" spans="1:7">
      <c r="A49" t="s">
        <v>68</v>
      </c>
      <c r="B49" s="287">
        <v>16</v>
      </c>
    </row>
    <row r="50" spans="1:7">
      <c r="A50" t="s">
        <v>69</v>
      </c>
      <c r="B50" s="287">
        <v>2</v>
      </c>
    </row>
    <row r="51" spans="1:7">
      <c r="A51" t="s">
        <v>70</v>
      </c>
      <c r="B51" s="287">
        <v>6</v>
      </c>
    </row>
    <row r="52" spans="1:7">
      <c r="A52" t="s">
        <v>71</v>
      </c>
      <c r="B52" s="287">
        <v>1</v>
      </c>
    </row>
    <row r="53" spans="1:7">
      <c r="A53" t="s">
        <v>72</v>
      </c>
      <c r="B53" s="287">
        <v>2</v>
      </c>
    </row>
    <row r="54" spans="1:7">
      <c r="A54" t="s">
        <v>61</v>
      </c>
      <c r="B54" s="287">
        <v>128</v>
      </c>
    </row>
    <row r="61" spans="1:7">
      <c r="A61" s="2" t="s">
        <v>57</v>
      </c>
      <c r="B61" s="2" t="s">
        <v>58</v>
      </c>
      <c r="C61" s="2" t="s">
        <v>12</v>
      </c>
    </row>
    <row r="62" spans="1:7">
      <c r="B62" t="s">
        <v>60</v>
      </c>
      <c r="C62" t="s">
        <v>35</v>
      </c>
      <c r="G62" s="1" t="s">
        <v>61</v>
      </c>
    </row>
    <row r="63" spans="1:7">
      <c r="A63" s="2" t="s">
        <v>6</v>
      </c>
      <c r="B63" s="1" t="s">
        <v>79</v>
      </c>
      <c r="C63" s="1" t="s">
        <v>79</v>
      </c>
      <c r="D63" s="1" t="s">
        <v>37</v>
      </c>
      <c r="E63" s="1" t="s">
        <v>80</v>
      </c>
      <c r="F63" s="1" t="s">
        <v>81</v>
      </c>
      <c r="G63" s="1"/>
    </row>
    <row r="64" spans="1:7">
      <c r="A64" t="s">
        <v>31</v>
      </c>
      <c r="B64" s="287">
        <v>1</v>
      </c>
      <c r="C64" s="287"/>
      <c r="D64" s="287">
        <v>46</v>
      </c>
      <c r="E64" s="287">
        <v>4</v>
      </c>
      <c r="F64" s="287"/>
      <c r="G64" s="287">
        <v>51</v>
      </c>
    </row>
    <row r="65" spans="1:7">
      <c r="A65" t="s">
        <v>66</v>
      </c>
      <c r="B65" s="287"/>
      <c r="C65" s="287">
        <v>2</v>
      </c>
      <c r="D65" s="287">
        <v>36</v>
      </c>
      <c r="E65" s="287">
        <v>2</v>
      </c>
      <c r="F65" s="287">
        <v>2</v>
      </c>
      <c r="G65" s="287">
        <v>42</v>
      </c>
    </row>
    <row r="66" spans="1:7">
      <c r="A66" t="s">
        <v>68</v>
      </c>
      <c r="B66" s="287"/>
      <c r="C66" s="287">
        <v>2</v>
      </c>
      <c r="D66" s="287">
        <v>14</v>
      </c>
      <c r="E66" s="287"/>
      <c r="F66" s="287"/>
      <c r="G66" s="287">
        <v>16</v>
      </c>
    </row>
    <row r="67" spans="1:7">
      <c r="A67" t="s">
        <v>70</v>
      </c>
      <c r="B67" s="287"/>
      <c r="C67" s="287"/>
      <c r="D67" s="287">
        <v>4</v>
      </c>
      <c r="E67" s="287">
        <v>2</v>
      </c>
      <c r="F67" s="287"/>
      <c r="G67" s="287">
        <v>6</v>
      </c>
    </row>
    <row r="68" spans="1:7">
      <c r="A68" t="s">
        <v>65</v>
      </c>
      <c r="B68" s="287"/>
      <c r="C68" s="287"/>
      <c r="D68" s="287">
        <v>6</v>
      </c>
      <c r="E68" s="287"/>
      <c r="F68" s="287"/>
      <c r="G68" s="287">
        <v>6</v>
      </c>
    </row>
    <row r="69" spans="1:7">
      <c r="A69" t="s">
        <v>72</v>
      </c>
      <c r="B69" s="287"/>
      <c r="C69" s="287"/>
      <c r="D69" s="287">
        <v>2</v>
      </c>
      <c r="E69" s="287"/>
      <c r="F69" s="287"/>
      <c r="G69" s="287">
        <v>2</v>
      </c>
    </row>
    <row r="70" spans="1:7">
      <c r="A70" t="s">
        <v>67</v>
      </c>
      <c r="B70" s="287"/>
      <c r="C70" s="287"/>
      <c r="D70" s="287">
        <v>2</v>
      </c>
      <c r="E70" s="287"/>
      <c r="F70" s="287"/>
      <c r="G70" s="287">
        <v>2</v>
      </c>
    </row>
    <row r="71" spans="1:7">
      <c r="A71" t="s">
        <v>69</v>
      </c>
      <c r="B71" s="287"/>
      <c r="C71" s="287"/>
      <c r="D71" s="287">
        <v>2</v>
      </c>
      <c r="E71" s="287"/>
      <c r="F71" s="287"/>
      <c r="G71" s="287">
        <v>2</v>
      </c>
    </row>
    <row r="72" spans="1:7">
      <c r="A72" t="s">
        <v>71</v>
      </c>
      <c r="B72" s="287"/>
      <c r="C72" s="287"/>
      <c r="D72" s="287">
        <v>1</v>
      </c>
      <c r="E72" s="287"/>
      <c r="F72" s="287"/>
      <c r="G72" s="287">
        <v>1</v>
      </c>
    </row>
    <row r="73" spans="1:7">
      <c r="A73" t="s">
        <v>61</v>
      </c>
      <c r="B73" s="287">
        <v>1</v>
      </c>
      <c r="C73" s="287">
        <v>4</v>
      </c>
      <c r="D73" s="287">
        <v>113</v>
      </c>
      <c r="E73" s="287">
        <v>8</v>
      </c>
      <c r="F73" s="287">
        <v>2</v>
      </c>
      <c r="G73" s="287">
        <v>128</v>
      </c>
    </row>
    <row r="80" spans="1:7">
      <c r="A80" s="2" t="s">
        <v>58</v>
      </c>
      <c r="B80" t="s">
        <v>35</v>
      </c>
    </row>
    <row r="82" spans="1:7">
      <c r="A82" s="2" t="s">
        <v>57</v>
      </c>
      <c r="B82" s="2" t="s">
        <v>11</v>
      </c>
    </row>
    <row r="83" spans="1:7">
      <c r="A83" s="2" t="s">
        <v>6</v>
      </c>
      <c r="B83" t="s">
        <v>62</v>
      </c>
      <c r="C83" t="s">
        <v>54</v>
      </c>
      <c r="D83" t="s">
        <v>49</v>
      </c>
      <c r="E83" t="s">
        <v>63</v>
      </c>
      <c r="F83" t="s">
        <v>36</v>
      </c>
      <c r="G83" s="1" t="s">
        <v>61</v>
      </c>
    </row>
    <row r="84" spans="1:7">
      <c r="A84" t="s">
        <v>31</v>
      </c>
      <c r="B84" s="287">
        <v>5</v>
      </c>
      <c r="C84" s="287">
        <v>13</v>
      </c>
      <c r="D84" s="287">
        <v>16</v>
      </c>
      <c r="E84" s="287">
        <v>7</v>
      </c>
      <c r="F84" s="287">
        <v>9</v>
      </c>
      <c r="G84" s="287">
        <v>50</v>
      </c>
    </row>
    <row r="85" spans="1:7">
      <c r="A85" t="s">
        <v>66</v>
      </c>
      <c r="B85" s="287">
        <v>2</v>
      </c>
      <c r="C85" s="287">
        <v>15</v>
      </c>
      <c r="D85" s="287"/>
      <c r="E85" s="287">
        <v>1</v>
      </c>
      <c r="F85" s="287">
        <v>24</v>
      </c>
      <c r="G85" s="287">
        <v>42</v>
      </c>
    </row>
    <row r="86" spans="1:7">
      <c r="A86" t="s">
        <v>68</v>
      </c>
      <c r="B86" s="287">
        <v>1</v>
      </c>
      <c r="C86" s="287">
        <v>5</v>
      </c>
      <c r="D86" s="287"/>
      <c r="E86" s="287">
        <v>4</v>
      </c>
      <c r="F86" s="287">
        <v>6</v>
      </c>
      <c r="G86" s="287">
        <v>16</v>
      </c>
    </row>
    <row r="87" spans="1:7">
      <c r="A87" t="s">
        <v>70</v>
      </c>
      <c r="B87" s="287"/>
      <c r="C87" s="287"/>
      <c r="D87" s="287"/>
      <c r="E87" s="287">
        <v>3</v>
      </c>
      <c r="F87" s="287">
        <v>3</v>
      </c>
      <c r="G87" s="287">
        <v>6</v>
      </c>
    </row>
    <row r="88" spans="1:7">
      <c r="A88" t="s">
        <v>65</v>
      </c>
      <c r="B88" s="287"/>
      <c r="C88" s="287">
        <v>1</v>
      </c>
      <c r="D88" s="287"/>
      <c r="E88" s="287">
        <v>5</v>
      </c>
      <c r="F88" s="287"/>
      <c r="G88" s="287">
        <v>6</v>
      </c>
    </row>
    <row r="89" spans="1:7">
      <c r="A89" t="s">
        <v>72</v>
      </c>
      <c r="B89" s="287"/>
      <c r="C89" s="287">
        <v>1</v>
      </c>
      <c r="D89" s="287"/>
      <c r="E89" s="287">
        <v>1</v>
      </c>
      <c r="F89" s="287"/>
      <c r="G89" s="287">
        <v>2</v>
      </c>
    </row>
    <row r="90" spans="1:7">
      <c r="A90" t="s">
        <v>67</v>
      </c>
      <c r="B90" s="287"/>
      <c r="C90" s="287">
        <v>2</v>
      </c>
      <c r="D90" s="287"/>
      <c r="E90" s="287"/>
      <c r="F90" s="287"/>
      <c r="G90" s="287">
        <v>2</v>
      </c>
    </row>
    <row r="91" spans="1:7">
      <c r="A91" t="s">
        <v>69</v>
      </c>
      <c r="B91" s="287"/>
      <c r="C91" s="287">
        <v>1</v>
      </c>
      <c r="D91" s="287"/>
      <c r="E91" s="287">
        <v>1</v>
      </c>
      <c r="F91" s="287"/>
      <c r="G91" s="287">
        <v>2</v>
      </c>
    </row>
    <row r="92" spans="1:7">
      <c r="A92" t="s">
        <v>71</v>
      </c>
      <c r="B92" s="287"/>
      <c r="C92" s="287"/>
      <c r="D92" s="287"/>
      <c r="E92" s="287">
        <v>1</v>
      </c>
      <c r="F92" s="287"/>
      <c r="G92" s="287">
        <v>1</v>
      </c>
    </row>
    <row r="93" spans="1:7">
      <c r="A93" t="s">
        <v>61</v>
      </c>
      <c r="B93" s="287">
        <v>8</v>
      </c>
      <c r="C93" s="287">
        <v>38</v>
      </c>
      <c r="D93" s="287">
        <v>16</v>
      </c>
      <c r="E93" s="287">
        <v>23</v>
      </c>
      <c r="F93" s="287">
        <v>42</v>
      </c>
      <c r="G93" s="287">
        <v>127</v>
      </c>
    </row>
    <row r="101" spans="1:36">
      <c r="A101" s="2" t="s">
        <v>10</v>
      </c>
      <c r="B101" t="s">
        <v>35</v>
      </c>
    </row>
    <row r="102" spans="1:36">
      <c r="A102" s="2" t="s">
        <v>12</v>
      </c>
      <c r="B102" t="s">
        <v>37</v>
      </c>
    </row>
    <row r="104" spans="1:36" ht="18.75" customHeight="1">
      <c r="A104" s="2" t="s">
        <v>82</v>
      </c>
      <c r="B104" s="2" t="s">
        <v>27</v>
      </c>
      <c r="V104" s="258" t="s">
        <v>83</v>
      </c>
      <c r="W104" s="258">
        <v>2026</v>
      </c>
      <c r="X104" s="258"/>
      <c r="Y104" s="258"/>
      <c r="Z104" s="258"/>
      <c r="AA104" s="258">
        <v>2027</v>
      </c>
      <c r="AB104" s="258"/>
      <c r="AC104" s="258"/>
      <c r="AD104" s="258"/>
      <c r="AE104" s="258">
        <v>2028</v>
      </c>
      <c r="AF104" s="258"/>
      <c r="AG104" s="258"/>
      <c r="AH104" s="258"/>
      <c r="AI104" s="259" t="s">
        <v>84</v>
      </c>
      <c r="AJ104" s="258" t="s">
        <v>61</v>
      </c>
    </row>
    <row r="105" spans="1:36" ht="18">
      <c r="A105" s="2" t="s">
        <v>6</v>
      </c>
      <c r="B105" t="s">
        <v>85</v>
      </c>
      <c r="C105" t="s">
        <v>86</v>
      </c>
      <c r="D105" t="s">
        <v>87</v>
      </c>
      <c r="E105" t="s">
        <v>88</v>
      </c>
      <c r="F105" t="s">
        <v>89</v>
      </c>
      <c r="G105" t="s">
        <v>90</v>
      </c>
      <c r="H105" t="s">
        <v>91</v>
      </c>
      <c r="I105" t="s">
        <v>92</v>
      </c>
      <c r="J105" t="s">
        <v>93</v>
      </c>
      <c r="K105" t="s">
        <v>44</v>
      </c>
      <c r="L105" t="s">
        <v>94</v>
      </c>
      <c r="M105" t="s">
        <v>95</v>
      </c>
      <c r="N105" t="s">
        <v>96</v>
      </c>
      <c r="O105" t="s">
        <v>97</v>
      </c>
      <c r="P105" t="s">
        <v>98</v>
      </c>
      <c r="Q105" t="s">
        <v>99</v>
      </c>
      <c r="R105" t="s">
        <v>100</v>
      </c>
      <c r="S105" t="s">
        <v>61</v>
      </c>
      <c r="V105" s="258"/>
      <c r="W105" s="206" t="s">
        <v>101</v>
      </c>
      <c r="X105" s="206" t="s">
        <v>102</v>
      </c>
      <c r="Y105" s="206" t="s">
        <v>103</v>
      </c>
      <c r="Z105" s="206" t="s">
        <v>104</v>
      </c>
      <c r="AA105" s="206" t="s">
        <v>101</v>
      </c>
      <c r="AB105" s="206" t="s">
        <v>102</v>
      </c>
      <c r="AC105" s="206" t="s">
        <v>103</v>
      </c>
      <c r="AD105" s="206" t="s">
        <v>104</v>
      </c>
      <c r="AE105" s="206" t="s">
        <v>101</v>
      </c>
      <c r="AF105" s="206" t="s">
        <v>102</v>
      </c>
      <c r="AG105" s="206" t="s">
        <v>103</v>
      </c>
      <c r="AH105" s="206" t="s">
        <v>104</v>
      </c>
      <c r="AI105" s="260"/>
      <c r="AJ105" s="258"/>
    </row>
    <row r="106" spans="1:36" ht="15.6">
      <c r="A106" t="s">
        <v>72</v>
      </c>
      <c r="B106" s="286"/>
      <c r="C106" s="286"/>
      <c r="D106" s="286"/>
      <c r="E106" s="286"/>
      <c r="F106" s="286">
        <v>1</v>
      </c>
      <c r="G106" s="286"/>
      <c r="H106" s="286"/>
      <c r="I106" s="286"/>
      <c r="J106" s="286"/>
      <c r="K106" s="286"/>
      <c r="L106" s="286"/>
      <c r="M106" s="286"/>
      <c r="N106" s="286">
        <v>1</v>
      </c>
      <c r="O106" s="286"/>
      <c r="P106" s="286"/>
      <c r="Q106" s="286"/>
      <c r="R106" s="286"/>
      <c r="S106" s="286">
        <v>2</v>
      </c>
      <c r="V106" s="207" t="s">
        <v>66</v>
      </c>
      <c r="W106" s="207" t="str">
        <f>IF(SUMIF($B$105:$R$105,"2026 - 1",$B106:$R106)+SUMIF($B$105:$R$105,"2026 - 2",$B106:$R106)+SUMIF($B$105:$R$105,"2026 - 3",$B106:$R106)=0,"",SUMIF($B$105:$R$105,"2026 - 1",$B106:$R106)+SUMIF($B$105:$R$105,"2026 - 2",$B106:$R106)+SUMIF($B$105:$R$105,"2026 - 3",$B106:$R106))</f>
        <v/>
      </c>
      <c r="X106" s="207" t="str">
        <f>IF(SUMIF($B$105:$R$105,"2026 - 4",$B106:$R106)+SUMIF($B$105:$R$105,"2026 - 5",$B106:$R106)+SUMIF($B$105:$R$105,"2026 - 6",$B106:$R106)=0,"",SUMIF($B$105:$R$105,"2026 - 4",$B106:$R106)+SUMIF($B$105:$R$105,"2026 - 5",$B106:$R106)+SUMIF($B$105:$R$105,"2026 - 6",$B106:$R106))</f>
        <v/>
      </c>
      <c r="Y106" s="207">
        <f>IF(SUMIF($A$106:$A$114,$V106,$E$106:$E$114)=0,"",SUMIF($A$106:$A$114,$V106,$E$106:$E$114))</f>
        <v>2</v>
      </c>
      <c r="Z106" s="207">
        <f>IF(SUMIF($A$106:$A$114,$V106,$B$106:$B$114)+SUMIF($A$106:$A$114,$V106,$C$106:$C$114)+SUMIF($A$106:$A$114,$V106,$D$106:$D$114)=0,"",SUMIF($A$106:$A$114,$V106,$B$106:$B$114)+SUMIF($A$106:$A$114,$V106,$C$106:$C$114)+SUMIF($A$106:$A$114,$V106,$D$106:$D$114))</f>
        <v>5</v>
      </c>
      <c r="AA106" s="207">
        <f>IF(SUMIF($A$106:$A$114,$V106,$F$106:$F$114)+SUMIF($A$106:$A$114,$V106,$J$106:$J$114)+SUMIF($A$106:$A$114,$V106,$K$106:$K$114)=0,"",SUMIF($A$106:$A$114,$V106,$F$106:$F$114)+SUMIF($A$106:$A$114,$V106,$J$106:$J$114)+SUMIF($A$106:$A$114,$V106,$K$106:$K$114))</f>
        <v>14</v>
      </c>
      <c r="AB106" s="207">
        <f>IF(SUMIF($A$106:$A$114,$V106,$L$106:$L$114)+SUMIF($A$106:$A$114,$V106,$M$106:$M$114)+SUMIF($A$106:$A$114,$V106,$N$106:$N$114)=0,"",SUMIF($A$106:$A$114,$V106,$L$106:$L$114)+SUMIF($A$106:$A$114,$V106,$M$106:$M$114)+SUMIF($A$106:$A$114,$V106,$N$106:$N$114))</f>
        <v>8</v>
      </c>
      <c r="AC106" s="207">
        <f>IF(SUMIF($A$106:$A$114,$V106,$O$106:$O$114)+SUMIF($A$106:$A$114,$V106,$P$106:$P$114)=0,"",SUMIF($A$106:$A$114,$V106,$O$106:$O$114)+SUMIF($A$106:$A$114,$V106,$P$106:$P$114))</f>
        <v>3</v>
      </c>
      <c r="AD106" s="207">
        <f>IF(SUMIF($A$106:$A$114,$V106,$G$106:$G$114)+SUMIF($A$106:$A$114,$V106,$H$106:$H$114)+SUMIF($A$106:$A$114,$V106,$I$106:$I$114)=0,"",SUMIF($A$106:$A$114,$V106,$G$106:$G$114)+SUMIF($A$106:$A$114,$V106,$H$106:$H$114)+SUMIF($A$106:$A$114,$V106,$I$106:$I$114))</f>
        <v>1</v>
      </c>
      <c r="AE106" s="207">
        <f>IF(SUMIF($A$106:$A$114,$V106,$Q$106:$Q$114)=0,"",SUMIF($A$106:$A$114,$V106,$Q$106:$Q$114))</f>
        <v>1</v>
      </c>
      <c r="AF106" s="207">
        <f>IF(SUMIF($A$106:$A$114,$V106,$R$106:$R$114)=0,"",SUMIF($A$106:$A$114,$V106,$R$106:$R$114))</f>
        <v>2</v>
      </c>
      <c r="AG106" s="207" t="s">
        <v>105</v>
      </c>
      <c r="AH106" s="207" t="s">
        <v>105</v>
      </c>
      <c r="AI106" s="207"/>
      <c r="AJ106" s="207">
        <f t="shared" ref="AJ106:AJ114" si="0">SUM(W106:AI106)</f>
        <v>36</v>
      </c>
    </row>
    <row r="107" spans="1:36" ht="15.6">
      <c r="A107" t="s">
        <v>31</v>
      </c>
      <c r="B107" s="286">
        <v>2</v>
      </c>
      <c r="C107" s="286">
        <v>1</v>
      </c>
      <c r="D107" s="286">
        <v>5</v>
      </c>
      <c r="E107" s="286">
        <v>4</v>
      </c>
      <c r="F107" s="286">
        <v>7</v>
      </c>
      <c r="G107" s="286"/>
      <c r="H107" s="286"/>
      <c r="I107" s="286"/>
      <c r="J107" s="286">
        <v>8</v>
      </c>
      <c r="K107" s="286">
        <v>7</v>
      </c>
      <c r="L107" s="286">
        <v>9</v>
      </c>
      <c r="M107" s="286">
        <v>2</v>
      </c>
      <c r="N107" s="286">
        <v>1</v>
      </c>
      <c r="O107" s="286"/>
      <c r="P107" s="286"/>
      <c r="Q107" s="286"/>
      <c r="R107" s="286"/>
      <c r="S107" s="286">
        <v>46</v>
      </c>
      <c r="V107" s="207" t="s">
        <v>31</v>
      </c>
      <c r="W107" s="207" t="s">
        <v>105</v>
      </c>
      <c r="X107" s="207" t="s">
        <v>105</v>
      </c>
      <c r="Y107" s="207">
        <f t="shared" ref="Y107:Y114" si="1">IF(SUMIF($A$106:$A$114,$V107,$E$106:$E$114)=0,"",SUMIF($A$106:$A$114,$V107,$E$106:$E$114))</f>
        <v>4</v>
      </c>
      <c r="Z107" s="207">
        <f t="shared" ref="Z107:Z114" si="2">IF(SUMIF($A$106:$A$114,$V107,$B$106:$B$114)+SUMIF($A$106:$A$114,$V107,$C$106:$C$114)+SUMIF($A$106:$A$114,$V107,$D$106:$D$114)=0,"",SUMIF($A$106:$A$114,$V107,$B$106:$B$114)+SUMIF($A$106:$A$114,$V107,$C$106:$C$114)+SUMIF($A$106:$A$114,$V107,$D$106:$D$114))</f>
        <v>8</v>
      </c>
      <c r="AA107" s="207">
        <f t="shared" ref="AA107:AA114" si="3">IF(SUMIF($A$106:$A$114,$V107,$F$106:$F$114)+SUMIF($A$106:$A$114,$V107,$J$106:$J$114)+SUMIF($A$106:$A$114,$V107,$K$106:$K$114)=0,"",SUMIF($A$106:$A$114,$V107,$F$106:$F$114)+SUMIF($A$106:$A$114,$V107,$J$106:$J$114)+SUMIF($A$106:$A$114,$V107,$K$106:$K$114))</f>
        <v>22</v>
      </c>
      <c r="AB107" s="207">
        <f t="shared" ref="AB107:AB114" si="4">IF(SUMIF($A$106:$A$114,$V107,$L$106:$L$114)+SUMIF($A$106:$A$114,$V107,$M$106:$M$114)+SUMIF($A$106:$A$114,$V107,$N$106:$N$114)=0,"",SUMIF($A$106:$A$114,$V107,$L$106:$L$114)+SUMIF($A$106:$A$114,$V107,$M$106:$M$114)+SUMIF($A$106:$A$114,$V107,$N$106:$N$114))</f>
        <v>12</v>
      </c>
      <c r="AC107" s="207" t="str">
        <f t="shared" ref="AC107:AC114" si="5">IF(SUMIF($A$106:$A$114,$V107,$O$106:$O$114)+SUMIF($A$106:$A$114,$V107,$P$106:$P$114)=0,"",SUMIF($A$106:$A$114,$V107,$O$106:$O$114)+SUMIF($A$106:$A$114,$V107,$P$106:$P$114))</f>
        <v/>
      </c>
      <c r="AD107" s="207" t="str">
        <f t="shared" ref="AD107:AD114" si="6">IF(SUMIF($A$106:$A$114,$V107,$G$106:$G$114)+SUMIF($A$106:$A$114,$V107,$H$106:$H$114)+SUMIF($A$106:$A$114,$V107,$I$106:$I$114)=0,"",SUMIF($A$106:$A$114,$V107,$G$106:$G$114)+SUMIF($A$106:$A$114,$V107,$H$106:$H$114)+SUMIF($A$106:$A$114,$V107,$I$106:$I$114))</f>
        <v/>
      </c>
      <c r="AE107" s="207" t="str">
        <f t="shared" ref="AE107:AE114" si="7">IF(SUMIF($A$106:$A$114,$V107,$Q$106:$Q$114)=0,"",SUMIF($A$106:$A$114,$V107,$Q$106:$Q$114))</f>
        <v/>
      </c>
      <c r="AF107" s="207" t="str">
        <f t="shared" ref="AF107:AF114" si="8">IF(SUMIF($A$106:$A$114,$V107,$R$106:$R$114)=0,"",SUMIF($A$106:$A$114,$V107,$R$106:$R$114))</f>
        <v/>
      </c>
      <c r="AG107" s="207" t="s">
        <v>105</v>
      </c>
      <c r="AH107" s="207" t="s">
        <v>105</v>
      </c>
      <c r="AI107" s="207"/>
      <c r="AJ107" s="207">
        <f t="shared" si="0"/>
        <v>46</v>
      </c>
    </row>
    <row r="108" spans="1:36" ht="15.6">
      <c r="A108" t="s">
        <v>65</v>
      </c>
      <c r="B108" s="286"/>
      <c r="C108" s="286"/>
      <c r="D108" s="286"/>
      <c r="E108" s="286">
        <v>1</v>
      </c>
      <c r="F108" s="286">
        <v>1</v>
      </c>
      <c r="G108" s="286"/>
      <c r="H108" s="286"/>
      <c r="I108" s="286">
        <v>2</v>
      </c>
      <c r="J108" s="286"/>
      <c r="K108" s="286">
        <v>1</v>
      </c>
      <c r="L108" s="286">
        <v>1</v>
      </c>
      <c r="M108" s="286"/>
      <c r="N108" s="286"/>
      <c r="O108" s="286"/>
      <c r="P108" s="286"/>
      <c r="Q108" s="286"/>
      <c r="R108" s="286"/>
      <c r="S108" s="286">
        <v>6</v>
      </c>
      <c r="V108" s="207" t="s">
        <v>68</v>
      </c>
      <c r="W108" s="207" t="s">
        <v>105</v>
      </c>
      <c r="X108" s="207" t="s">
        <v>105</v>
      </c>
      <c r="Y108" s="207" t="str">
        <f t="shared" si="1"/>
        <v/>
      </c>
      <c r="Z108" s="207">
        <f t="shared" si="2"/>
        <v>2</v>
      </c>
      <c r="AA108" s="207">
        <f t="shared" si="3"/>
        <v>6</v>
      </c>
      <c r="AB108" s="207">
        <f t="shared" si="4"/>
        <v>4</v>
      </c>
      <c r="AC108" s="207">
        <f t="shared" si="5"/>
        <v>2</v>
      </c>
      <c r="AD108" s="207" t="str">
        <f t="shared" si="6"/>
        <v/>
      </c>
      <c r="AE108" s="207" t="str">
        <f t="shared" si="7"/>
        <v/>
      </c>
      <c r="AF108" s="207" t="str">
        <f t="shared" si="8"/>
        <v/>
      </c>
      <c r="AG108" s="207" t="s">
        <v>105</v>
      </c>
      <c r="AH108" s="207" t="s">
        <v>105</v>
      </c>
      <c r="AI108" s="207"/>
      <c r="AJ108" s="207">
        <f t="shared" si="0"/>
        <v>14</v>
      </c>
    </row>
    <row r="109" spans="1:36" ht="15.6">
      <c r="A109" t="s">
        <v>71</v>
      </c>
      <c r="B109" s="286"/>
      <c r="C109" s="286"/>
      <c r="D109" s="286"/>
      <c r="E109" s="286"/>
      <c r="F109" s="286"/>
      <c r="G109" s="286"/>
      <c r="H109" s="286"/>
      <c r="I109" s="286"/>
      <c r="J109" s="286"/>
      <c r="K109" s="286"/>
      <c r="L109" s="286">
        <v>1</v>
      </c>
      <c r="M109" s="286"/>
      <c r="N109" s="286"/>
      <c r="O109" s="286"/>
      <c r="P109" s="286"/>
      <c r="Q109" s="286"/>
      <c r="R109" s="286"/>
      <c r="S109" s="286">
        <v>1</v>
      </c>
      <c r="V109" s="207" t="s">
        <v>65</v>
      </c>
      <c r="W109" s="207" t="s">
        <v>105</v>
      </c>
      <c r="X109" s="207" t="s">
        <v>105</v>
      </c>
      <c r="Y109" s="207">
        <f t="shared" si="1"/>
        <v>1</v>
      </c>
      <c r="Z109" s="207" t="str">
        <f t="shared" si="2"/>
        <v/>
      </c>
      <c r="AA109" s="207">
        <f t="shared" si="3"/>
        <v>2</v>
      </c>
      <c r="AB109" s="207">
        <f t="shared" si="4"/>
        <v>1</v>
      </c>
      <c r="AC109" s="207" t="str">
        <f t="shared" si="5"/>
        <v/>
      </c>
      <c r="AD109" s="207">
        <f t="shared" si="6"/>
        <v>2</v>
      </c>
      <c r="AE109" s="207" t="str">
        <f t="shared" si="7"/>
        <v/>
      </c>
      <c r="AF109" s="207" t="str">
        <f t="shared" si="8"/>
        <v/>
      </c>
      <c r="AG109" s="207" t="s">
        <v>105</v>
      </c>
      <c r="AH109" s="207" t="s">
        <v>105</v>
      </c>
      <c r="AI109" s="207"/>
      <c r="AJ109" s="207">
        <f t="shared" si="0"/>
        <v>6</v>
      </c>
    </row>
    <row r="110" spans="1:36" ht="15.6">
      <c r="A110" t="s">
        <v>66</v>
      </c>
      <c r="B110" s="286">
        <v>1</v>
      </c>
      <c r="C110" s="286">
        <v>1</v>
      </c>
      <c r="D110" s="286">
        <v>3</v>
      </c>
      <c r="E110" s="286">
        <v>2</v>
      </c>
      <c r="F110" s="286">
        <v>7</v>
      </c>
      <c r="G110" s="286"/>
      <c r="H110" s="286">
        <v>1</v>
      </c>
      <c r="I110" s="286"/>
      <c r="J110" s="286">
        <v>4</v>
      </c>
      <c r="K110" s="286">
        <v>3</v>
      </c>
      <c r="L110" s="286">
        <v>3</v>
      </c>
      <c r="M110" s="286">
        <v>3</v>
      </c>
      <c r="N110" s="286">
        <v>2</v>
      </c>
      <c r="O110" s="286">
        <v>2</v>
      </c>
      <c r="P110" s="286">
        <v>1</v>
      </c>
      <c r="Q110" s="286">
        <v>1</v>
      </c>
      <c r="R110" s="286">
        <v>2</v>
      </c>
      <c r="S110" s="286">
        <v>36</v>
      </c>
      <c r="V110" s="207" t="s">
        <v>70</v>
      </c>
      <c r="W110" s="207" t="s">
        <v>105</v>
      </c>
      <c r="X110" s="207" t="s">
        <v>105</v>
      </c>
      <c r="Y110" s="207" t="str">
        <f t="shared" si="1"/>
        <v/>
      </c>
      <c r="Z110" s="207" t="str">
        <f t="shared" si="2"/>
        <v/>
      </c>
      <c r="AA110" s="207">
        <f t="shared" si="3"/>
        <v>2</v>
      </c>
      <c r="AB110" s="207">
        <f t="shared" si="4"/>
        <v>1</v>
      </c>
      <c r="AC110" s="207" t="str">
        <f t="shared" si="5"/>
        <v/>
      </c>
      <c r="AD110" s="207">
        <f t="shared" si="6"/>
        <v>1</v>
      </c>
      <c r="AE110" s="207" t="str">
        <f t="shared" si="7"/>
        <v/>
      </c>
      <c r="AF110" s="207" t="str">
        <f t="shared" si="8"/>
        <v/>
      </c>
      <c r="AG110" s="207" t="s">
        <v>105</v>
      </c>
      <c r="AH110" s="207" t="s">
        <v>105</v>
      </c>
      <c r="AI110" s="207">
        <v>2</v>
      </c>
      <c r="AJ110" s="207">
        <f t="shared" si="0"/>
        <v>6</v>
      </c>
    </row>
    <row r="111" spans="1:36" ht="15.6">
      <c r="A111" t="s">
        <v>67</v>
      </c>
      <c r="B111" s="286"/>
      <c r="C111" s="286"/>
      <c r="D111" s="286"/>
      <c r="E111" s="286"/>
      <c r="F111" s="286"/>
      <c r="G111" s="286"/>
      <c r="H111" s="286"/>
      <c r="I111" s="286"/>
      <c r="J111" s="286">
        <v>1</v>
      </c>
      <c r="K111" s="286"/>
      <c r="L111" s="286"/>
      <c r="M111" s="286">
        <v>1</v>
      </c>
      <c r="N111" s="286"/>
      <c r="O111" s="286"/>
      <c r="P111" s="286"/>
      <c r="Q111" s="286"/>
      <c r="R111" s="286"/>
      <c r="S111" s="286">
        <v>2</v>
      </c>
      <c r="V111" s="207" t="s">
        <v>69</v>
      </c>
      <c r="W111" s="207" t="s">
        <v>105</v>
      </c>
      <c r="X111" s="207" t="s">
        <v>105</v>
      </c>
      <c r="Y111" s="207" t="str">
        <f t="shared" si="1"/>
        <v/>
      </c>
      <c r="Z111" s="207" t="str">
        <f t="shared" si="2"/>
        <v/>
      </c>
      <c r="AA111" s="207">
        <f t="shared" si="3"/>
        <v>1</v>
      </c>
      <c r="AB111" s="207" t="str">
        <f t="shared" si="4"/>
        <v/>
      </c>
      <c r="AC111" s="207">
        <f t="shared" si="5"/>
        <v>1</v>
      </c>
      <c r="AD111" s="207" t="str">
        <f t="shared" si="6"/>
        <v/>
      </c>
      <c r="AE111" s="207" t="str">
        <f t="shared" si="7"/>
        <v/>
      </c>
      <c r="AF111" s="207" t="str">
        <f t="shared" si="8"/>
        <v/>
      </c>
      <c r="AG111" s="207" t="s">
        <v>105</v>
      </c>
      <c r="AH111" s="207" t="s">
        <v>105</v>
      </c>
      <c r="AI111" s="207"/>
      <c r="AJ111" s="207">
        <f t="shared" si="0"/>
        <v>2</v>
      </c>
    </row>
    <row r="112" spans="1:36" ht="15.6">
      <c r="A112" t="s">
        <v>68</v>
      </c>
      <c r="B112" s="286">
        <v>1</v>
      </c>
      <c r="C112" s="286">
        <v>1</v>
      </c>
      <c r="D112" s="286"/>
      <c r="E112" s="286"/>
      <c r="F112" s="286">
        <v>6</v>
      </c>
      <c r="G112" s="286"/>
      <c r="H112" s="286"/>
      <c r="I112" s="286"/>
      <c r="J112" s="286"/>
      <c r="K112" s="286"/>
      <c r="L112" s="286">
        <v>2</v>
      </c>
      <c r="M112" s="286">
        <v>2</v>
      </c>
      <c r="N112" s="286"/>
      <c r="O112" s="286">
        <v>2</v>
      </c>
      <c r="P112" s="286"/>
      <c r="Q112" s="286"/>
      <c r="R112" s="286"/>
      <c r="S112" s="286">
        <v>14</v>
      </c>
      <c r="V112" s="207" t="s">
        <v>72</v>
      </c>
      <c r="W112" s="207" t="s">
        <v>105</v>
      </c>
      <c r="X112" s="207" t="s">
        <v>105</v>
      </c>
      <c r="Y112" s="207" t="str">
        <f t="shared" si="1"/>
        <v/>
      </c>
      <c r="Z112" s="207" t="str">
        <f t="shared" si="2"/>
        <v/>
      </c>
      <c r="AA112" s="207">
        <f t="shared" si="3"/>
        <v>1</v>
      </c>
      <c r="AB112" s="207">
        <f t="shared" si="4"/>
        <v>1</v>
      </c>
      <c r="AC112" s="207" t="str">
        <f t="shared" si="5"/>
        <v/>
      </c>
      <c r="AD112" s="207" t="str">
        <f t="shared" si="6"/>
        <v/>
      </c>
      <c r="AE112" s="207" t="str">
        <f t="shared" si="7"/>
        <v/>
      </c>
      <c r="AF112" s="207" t="str">
        <f t="shared" si="8"/>
        <v/>
      </c>
      <c r="AG112" s="207" t="s">
        <v>105</v>
      </c>
      <c r="AH112" s="207" t="s">
        <v>105</v>
      </c>
      <c r="AI112" s="207"/>
      <c r="AJ112" s="207">
        <f t="shared" si="0"/>
        <v>2</v>
      </c>
    </row>
    <row r="113" spans="1:36" ht="15.6">
      <c r="A113" t="s">
        <v>69</v>
      </c>
      <c r="B113" s="286"/>
      <c r="C113" s="286"/>
      <c r="D113" s="286"/>
      <c r="E113" s="286"/>
      <c r="F113" s="286"/>
      <c r="G113" s="286"/>
      <c r="H113" s="286"/>
      <c r="I113" s="286"/>
      <c r="J113" s="286">
        <v>1</v>
      </c>
      <c r="K113" s="286"/>
      <c r="L113" s="286"/>
      <c r="M113" s="286"/>
      <c r="N113" s="286"/>
      <c r="O113" s="286"/>
      <c r="P113" s="286">
        <v>1</v>
      </c>
      <c r="Q113" s="286"/>
      <c r="R113" s="286"/>
      <c r="S113" s="286">
        <v>2</v>
      </c>
      <c r="V113" s="210" t="s">
        <v>67</v>
      </c>
      <c r="W113" s="207" t="s">
        <v>105</v>
      </c>
      <c r="X113" s="207" t="s">
        <v>105</v>
      </c>
      <c r="Y113" s="207" t="str">
        <f t="shared" si="1"/>
        <v/>
      </c>
      <c r="Z113" s="207" t="str">
        <f t="shared" si="2"/>
        <v/>
      </c>
      <c r="AA113" s="207">
        <f t="shared" si="3"/>
        <v>1</v>
      </c>
      <c r="AB113" s="207">
        <f t="shared" si="4"/>
        <v>1</v>
      </c>
      <c r="AC113" s="207" t="str">
        <f t="shared" si="5"/>
        <v/>
      </c>
      <c r="AD113" s="207" t="str">
        <f t="shared" si="6"/>
        <v/>
      </c>
      <c r="AE113" s="207" t="str">
        <f t="shared" si="7"/>
        <v/>
      </c>
      <c r="AF113" s="207" t="str">
        <f t="shared" si="8"/>
        <v/>
      </c>
      <c r="AG113" s="207" t="s">
        <v>105</v>
      </c>
      <c r="AH113" s="207" t="s">
        <v>105</v>
      </c>
      <c r="AI113" s="207"/>
      <c r="AJ113" s="207">
        <f t="shared" si="0"/>
        <v>2</v>
      </c>
    </row>
    <row r="114" spans="1:36" ht="15.6">
      <c r="A114" t="s">
        <v>70</v>
      </c>
      <c r="B114" s="286"/>
      <c r="C114" s="286"/>
      <c r="D114" s="286"/>
      <c r="E114" s="286"/>
      <c r="F114" s="286">
        <v>1</v>
      </c>
      <c r="G114" s="286">
        <v>1</v>
      </c>
      <c r="H114" s="286"/>
      <c r="I114" s="286"/>
      <c r="J114" s="286"/>
      <c r="K114" s="286">
        <v>1</v>
      </c>
      <c r="L114" s="286"/>
      <c r="M114" s="286">
        <v>1</v>
      </c>
      <c r="N114" s="286"/>
      <c r="O114" s="286"/>
      <c r="P114" s="286"/>
      <c r="Q114" s="286"/>
      <c r="R114" s="286"/>
      <c r="S114" s="286">
        <v>4</v>
      </c>
      <c r="V114" s="207" t="s">
        <v>71</v>
      </c>
      <c r="W114" s="209" t="s">
        <v>105</v>
      </c>
      <c r="X114" s="207" t="s">
        <v>105</v>
      </c>
      <c r="Y114" s="207" t="str">
        <f t="shared" si="1"/>
        <v/>
      </c>
      <c r="Z114" s="207" t="str">
        <f t="shared" si="2"/>
        <v/>
      </c>
      <c r="AA114" s="207" t="str">
        <f t="shared" si="3"/>
        <v/>
      </c>
      <c r="AB114" s="207">
        <f t="shared" si="4"/>
        <v>1</v>
      </c>
      <c r="AC114" s="207" t="str">
        <f t="shared" si="5"/>
        <v/>
      </c>
      <c r="AD114" s="207" t="str">
        <f t="shared" si="6"/>
        <v/>
      </c>
      <c r="AE114" s="207" t="str">
        <f t="shared" si="7"/>
        <v/>
      </c>
      <c r="AF114" s="207" t="str">
        <f t="shared" si="8"/>
        <v/>
      </c>
      <c r="AG114" s="207" t="s">
        <v>105</v>
      </c>
      <c r="AH114" s="207" t="s">
        <v>105</v>
      </c>
      <c r="AI114" s="207"/>
      <c r="AJ114" s="207">
        <f t="shared" si="0"/>
        <v>1</v>
      </c>
    </row>
    <row r="115" spans="1:36" ht="15.6">
      <c r="A115" t="s">
        <v>61</v>
      </c>
      <c r="B115" s="286">
        <v>4</v>
      </c>
      <c r="C115" s="286">
        <v>3</v>
      </c>
      <c r="D115" s="286">
        <v>8</v>
      </c>
      <c r="E115" s="286">
        <v>7</v>
      </c>
      <c r="F115" s="286">
        <v>23</v>
      </c>
      <c r="G115" s="286">
        <v>1</v>
      </c>
      <c r="H115" s="286">
        <v>1</v>
      </c>
      <c r="I115" s="286">
        <v>2</v>
      </c>
      <c r="J115" s="286">
        <v>14</v>
      </c>
      <c r="K115" s="286">
        <v>12</v>
      </c>
      <c r="L115" s="286">
        <v>16</v>
      </c>
      <c r="M115" s="286">
        <v>9</v>
      </c>
      <c r="N115" s="286">
        <v>4</v>
      </c>
      <c r="O115" s="286">
        <v>4</v>
      </c>
      <c r="P115" s="286">
        <v>2</v>
      </c>
      <c r="Q115" s="286">
        <v>1</v>
      </c>
      <c r="R115" s="286">
        <v>2</v>
      </c>
      <c r="S115" s="286">
        <v>113</v>
      </c>
      <c r="V115" s="211" t="s">
        <v>61</v>
      </c>
      <c r="W115" s="208">
        <f>SUM(W106:W114)</f>
        <v>0</v>
      </c>
      <c r="X115" s="208">
        <f t="shared" ref="X115:AH115" si="9">SUM(X106:X114)</f>
        <v>0</v>
      </c>
      <c r="Y115" s="208">
        <f t="shared" si="9"/>
        <v>7</v>
      </c>
      <c r="Z115" s="208">
        <f t="shared" si="9"/>
        <v>15</v>
      </c>
      <c r="AA115" s="208">
        <f t="shared" si="9"/>
        <v>49</v>
      </c>
      <c r="AB115" s="208">
        <f t="shared" si="9"/>
        <v>29</v>
      </c>
      <c r="AC115" s="208">
        <f t="shared" si="9"/>
        <v>6</v>
      </c>
      <c r="AD115" s="208">
        <f t="shared" si="9"/>
        <v>4</v>
      </c>
      <c r="AE115" s="208">
        <f t="shared" si="9"/>
        <v>1</v>
      </c>
      <c r="AF115" s="208">
        <f t="shared" si="9"/>
        <v>2</v>
      </c>
      <c r="AG115" s="208">
        <f t="shared" si="9"/>
        <v>0</v>
      </c>
      <c r="AH115" s="208">
        <f t="shared" si="9"/>
        <v>0</v>
      </c>
      <c r="AI115" s="208">
        <f>SUM(AI106:AI114)</f>
        <v>2</v>
      </c>
      <c r="AJ115" s="208">
        <f>SUM(AJ106:AJ114)</f>
        <v>115</v>
      </c>
    </row>
    <row r="121" spans="1:36" ht="15" customHeight="1"/>
  </sheetData>
  <mergeCells count="6">
    <mergeCell ref="V104:V105"/>
    <mergeCell ref="W104:Z104"/>
    <mergeCell ref="AA104:AD104"/>
    <mergeCell ref="AE104:AH104"/>
    <mergeCell ref="AJ104:AJ105"/>
    <mergeCell ref="AI104:AI105"/>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FFC000"/>
  </sheetPr>
  <dimension ref="A1:AC132"/>
  <sheetViews>
    <sheetView topLeftCell="A2" zoomScale="80" zoomScaleNormal="80" workbookViewId="0">
      <pane xSplit="5" topLeftCell="F1" activePane="topRight" state="frozen"/>
      <selection activeCell="A2" sqref="A2"/>
      <selection pane="topRight" activeCell="E6" sqref="E6"/>
    </sheetView>
  </sheetViews>
  <sheetFormatPr baseColWidth="10" defaultColWidth="11.44140625" defaultRowHeight="15" customHeight="1"/>
  <cols>
    <col min="1" max="1" width="40" style="15" customWidth="1"/>
    <col min="2" max="2" width="8.5546875" style="13" customWidth="1"/>
    <col min="3" max="3" width="9.6640625" style="13" customWidth="1"/>
    <col min="4" max="4" width="11.5546875" style="13" customWidth="1"/>
    <col min="5" max="5" width="13" style="13" customWidth="1"/>
    <col min="6" max="7" width="13.44140625" style="12" customWidth="1"/>
    <col min="8" max="8" width="10.109375" style="12" customWidth="1"/>
    <col min="9" max="9" width="18.33203125" style="15" customWidth="1"/>
    <col min="10" max="10" width="10.88671875" style="13" customWidth="1"/>
    <col min="11" max="11" width="16.109375" style="12" customWidth="1"/>
    <col min="12" max="12" width="17.33203125" style="12" customWidth="1"/>
    <col min="13" max="13" width="16.5546875" style="12" customWidth="1"/>
    <col min="14" max="14" width="11.6640625" style="12" customWidth="1"/>
    <col min="15" max="15" width="15.6640625" style="12" customWidth="1"/>
    <col min="16" max="16" width="24.44140625" style="15" customWidth="1"/>
    <col min="17" max="17" width="14.6640625" style="10" customWidth="1"/>
    <col min="18" max="22" width="14.33203125" style="14" customWidth="1"/>
    <col min="23" max="24" width="11.44140625" style="13" customWidth="1"/>
    <col min="25" max="25" width="17.6640625" style="13" customWidth="1"/>
    <col min="26" max="27" width="11.44140625" style="13"/>
    <col min="28" max="28" width="16.5546875" style="13" customWidth="1"/>
    <col min="29" max="16384" width="11.44140625" style="13"/>
  </cols>
  <sheetData>
    <row r="1" spans="1:29" ht="15" customHeight="1">
      <c r="A1" s="12"/>
      <c r="Q1" s="53" t="s">
        <v>106</v>
      </c>
      <c r="S1" s="89"/>
      <c r="T1" s="257" t="s">
        <v>107</v>
      </c>
      <c r="U1" s="257"/>
      <c r="V1" s="89"/>
    </row>
    <row r="2" spans="1:29" ht="15" customHeight="1">
      <c r="A2" s="44" t="str">
        <f>_xlfn.CONCAT("Total = ",COUNTA(PRIORIDAD_UNO[Nombre del requerimiento]))</f>
        <v>Total = 128</v>
      </c>
      <c r="Q2" s="52" t="s">
        <v>108</v>
      </c>
      <c r="S2" s="255" t="s">
        <v>109</v>
      </c>
      <c r="T2" s="256"/>
      <c r="U2" s="256"/>
      <c r="V2" s="256"/>
    </row>
    <row r="3" spans="1:29" ht="15" customHeight="1">
      <c r="Q3" s="52" t="s">
        <v>110</v>
      </c>
      <c r="AA3" s="97"/>
    </row>
    <row r="4" spans="1:29" s="12" customFormat="1" ht="43.2">
      <c r="A4" s="54" t="s">
        <v>1</v>
      </c>
      <c r="B4" s="54" t="s">
        <v>2</v>
      </c>
      <c r="C4" s="54" t="s">
        <v>3</v>
      </c>
      <c r="D4" s="55" t="s">
        <v>4</v>
      </c>
      <c r="E4" s="56" t="s">
        <v>5</v>
      </c>
      <c r="F4" s="56" t="s">
        <v>6</v>
      </c>
      <c r="G4" s="56" t="s">
        <v>7</v>
      </c>
      <c r="H4" s="56" t="s">
        <v>8</v>
      </c>
      <c r="I4" s="56" t="s">
        <v>9</v>
      </c>
      <c r="J4" s="56" t="s">
        <v>10</v>
      </c>
      <c r="K4" s="56" t="s">
        <v>11</v>
      </c>
      <c r="L4" s="107" t="s">
        <v>12</v>
      </c>
      <c r="M4" s="56" t="s">
        <v>13</v>
      </c>
      <c r="N4" s="56" t="s">
        <v>14</v>
      </c>
      <c r="O4" s="56" t="s">
        <v>15</v>
      </c>
      <c r="P4" s="56" t="s">
        <v>16</v>
      </c>
      <c r="Q4" s="55" t="s">
        <v>17</v>
      </c>
      <c r="R4" s="57" t="s">
        <v>18</v>
      </c>
      <c r="S4" s="57" t="s">
        <v>19</v>
      </c>
      <c r="T4" s="57" t="s">
        <v>20</v>
      </c>
      <c r="U4" s="57" t="s">
        <v>21</v>
      </c>
      <c r="V4" s="57" t="s">
        <v>22</v>
      </c>
      <c r="W4" s="57" t="s">
        <v>23</v>
      </c>
      <c r="X4" s="16" t="s">
        <v>24</v>
      </c>
      <c r="Y4" s="100" t="s">
        <v>25</v>
      </c>
      <c r="Z4" s="225" t="s">
        <v>26</v>
      </c>
      <c r="AA4" s="232" t="s">
        <v>27</v>
      </c>
      <c r="AB4" s="231" t="s">
        <v>111</v>
      </c>
    </row>
    <row r="5" spans="1:29" s="29" customFormat="1" ht="33.75" customHeight="1">
      <c r="A5" s="212" t="s">
        <v>112</v>
      </c>
      <c r="B5" s="126">
        <v>1</v>
      </c>
      <c r="C5" s="126">
        <v>4</v>
      </c>
      <c r="D5" s="126" t="s">
        <v>113</v>
      </c>
      <c r="E5"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5" s="126" t="s">
        <v>31</v>
      </c>
      <c r="G5" s="126" t="s">
        <v>32</v>
      </c>
      <c r="H5" s="126" t="s">
        <v>33</v>
      </c>
      <c r="I5" s="125" t="s">
        <v>114</v>
      </c>
      <c r="J5" s="126" t="s">
        <v>35</v>
      </c>
      <c r="K5" s="126" t="s">
        <v>54</v>
      </c>
      <c r="L5" s="126" t="s">
        <v>80</v>
      </c>
      <c r="M5" s="126" t="s">
        <v>38</v>
      </c>
      <c r="N5" s="146" t="s">
        <v>115</v>
      </c>
      <c r="O5" s="126" t="s">
        <v>40</v>
      </c>
      <c r="P5" s="125"/>
      <c r="Q5" s="51"/>
      <c r="R5" s="88"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5" s="88" t="str">
        <f>IF(PRIORIDAD_UNO[[#This Row],[Fin Desarrollo]]="","",IF(ISBLANK(VLOOKUP(PRIORIDAD_UNO[[#This Row],[Nombre del requerimiento]],'Cálculos Manual'!A:H,8,FALSE)),WORKDAY(PRIORIDAD_UNO[[#This Row],[Fin Desarrollo]],5,FERIADOS[Fecha]), VLOOKUP(PRIORIDAD_UNO[[#This Row],[Nombre del requerimiento]],'Cálculos Manual'!A:H,8,FALSE)))</f>
        <v/>
      </c>
      <c r="T5" s="88"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5" s="88" t="str">
        <f>IF(PRIORIDAD_UNO[[#This Row],[Fin Calidad]]="","",IF(ISBLANK(VLOOKUP(PRIORIDAD_UNO[[#This Row],[Nombre del requerimiento]],'Cálculos Manual'!A:L,12,FALSE)), WORKDAY(PRIORIDAD_UNO[[#This Row],[Fin Calidad]],5,FERIADOS[Fecha]), VLOOKUP(PRIORIDAD_UNO[[#This Row],[Nombre del requerimiento]],'Cálculos Manual'!A:L,12,FALSE)))</f>
        <v/>
      </c>
      <c r="V5" s="88"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5" s="87" t="str">
        <f>IFERROR(PRIORIDAD_UNO[[#This Row],[Fin Producción]]-PRIORIDAD_UNO[[#This Row],[Comienzo Desarrollo]],"")</f>
        <v/>
      </c>
      <c r="X5" s="132" t="str">
        <f>IF(ISBLANK(PRIORIDAD_UNO[[#This Row],[Comienzo Desarrollo]]),"Sin Fecha","Con Fecha")</f>
        <v>Sin Fecha</v>
      </c>
      <c r="Y5" s="129" t="str">
        <f>IF(PRIORIDAD_UNO[[#This Row],[Esfuerzo Estimado Desarrollo]]="No definido","Sin esfuerzo","Con esfuerzo")</f>
        <v>Con esfuerzo</v>
      </c>
      <c r="Z5" s="133"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5" s="239" t="str">
        <f>IF(PRIORIDAD_UNO[[#This Row],[Comienzo Producción]]="","Por Definir",_xlfn.CONCAT(YEAR(PRIORIDAD_UNO[[#This Row],[Comienzo Producción]])," - ", MONTH(PRIORIDAD_UNO[[#This Row],[Comienzo Producción]])))</f>
        <v>Por Definir</v>
      </c>
      <c r="AB5" s="101" t="s">
        <v>116</v>
      </c>
      <c r="AC5" s="154"/>
    </row>
    <row r="6" spans="1:29" s="29" customFormat="1" ht="33.75" customHeight="1">
      <c r="A6" s="112" t="s">
        <v>45</v>
      </c>
      <c r="B6" s="126">
        <v>1</v>
      </c>
      <c r="C6" s="126">
        <v>2</v>
      </c>
      <c r="D6" s="126" t="s">
        <v>46</v>
      </c>
      <c r="E6"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6" s="126" t="s">
        <v>31</v>
      </c>
      <c r="G6" s="126" t="s">
        <v>32</v>
      </c>
      <c r="H6" s="126" t="s">
        <v>33</v>
      </c>
      <c r="I6" s="125" t="s">
        <v>48</v>
      </c>
      <c r="J6" s="126" t="s">
        <v>35</v>
      </c>
      <c r="K6" s="126" t="s">
        <v>49</v>
      </c>
      <c r="L6" s="126" t="s">
        <v>37</v>
      </c>
      <c r="M6" s="126" t="s">
        <v>38</v>
      </c>
      <c r="N6" s="126" t="s">
        <v>50</v>
      </c>
      <c r="O6" s="126" t="s">
        <v>40</v>
      </c>
      <c r="P6" s="125"/>
      <c r="Q6" s="51">
        <v>46204</v>
      </c>
      <c r="R6"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46367</v>
      </c>
      <c r="S6" s="88">
        <f>IF(PRIORIDAD_UNO[[#This Row],[Fin Desarrollo]]="","",IF(ISBLANK(VLOOKUP(PRIORIDAD_UNO[[#This Row],[Nombre del requerimiento]],'Cálculos Manual'!A:H,8,FALSE)),WORKDAY(PRIORIDAD_UNO[[#This Row],[Fin Desarrollo]],5,FERIADOS[Fecha]), VLOOKUP(PRIORIDAD_UNO[[#This Row],[Nombre del requerimiento]],'Cálculos Manual'!A:H,8,FALSE)))</f>
        <v>46374</v>
      </c>
      <c r="T6"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46448</v>
      </c>
      <c r="U6" s="88">
        <f>IF(PRIORIDAD_UNO[[#This Row],[Fin Calidad]]="","",IF(ISBLANK(VLOOKUP(PRIORIDAD_UNO[[#This Row],[Nombre del requerimiento]],'Cálculos Manual'!A:L,12,FALSE)), WORKDAY(PRIORIDAD_UNO[[#This Row],[Fin Calidad]],5,FERIADOS[Fecha]), VLOOKUP(PRIORIDAD_UNO[[#This Row],[Nombre del requerimiento]],'Cálculos Manual'!A:L,12,FALSE)))</f>
        <v>46455</v>
      </c>
      <c r="V6"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46469</v>
      </c>
      <c r="W6" s="87">
        <f>IFERROR(PRIORIDAD_UNO[[#This Row],[Fin Producción]]-PRIORIDAD_UNO[[#This Row],[Comienzo Desarrollo]],"")</f>
        <v>265</v>
      </c>
      <c r="X6" s="132" t="str">
        <f>IF(ISBLANK(PRIORIDAD_UNO[[#This Row],[Comienzo Desarrollo]]),"Sin Fecha","Con Fecha")</f>
        <v>Con Fecha</v>
      </c>
      <c r="Y6" s="129" t="str">
        <f>IF(PRIORIDAD_UNO[[#This Row],[Esfuerzo Estimado Desarrollo]]="No definido","Sin esfuerzo","Con esfuerzo")</f>
        <v>Con esfuerzo</v>
      </c>
      <c r="Z6"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6" s="239" t="str">
        <f>IF(PRIORIDAD_UNO[[#This Row],[Comienzo Producción]]="","Por Definir",_xlfn.CONCAT(YEAR(PRIORIDAD_UNO[[#This Row],[Comienzo Producción]])," - ", MONTH(PRIORIDAD_UNO[[#This Row],[Comienzo Producción]])))</f>
        <v>2027 - 3</v>
      </c>
      <c r="AB6" s="101">
        <v>3327</v>
      </c>
      <c r="AC6" s="154"/>
    </row>
    <row r="7" spans="1:29" s="29" customFormat="1" ht="33.75" customHeight="1">
      <c r="A7" s="213" t="s">
        <v>117</v>
      </c>
      <c r="B7" s="126">
        <v>1</v>
      </c>
      <c r="C7" s="126">
        <v>6</v>
      </c>
      <c r="D7" s="126" t="s">
        <v>29</v>
      </c>
      <c r="E7"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7" s="126" t="s">
        <v>31</v>
      </c>
      <c r="G7" s="126" t="s">
        <v>32</v>
      </c>
      <c r="H7" s="126" t="s">
        <v>33</v>
      </c>
      <c r="I7" s="125" t="s">
        <v>48</v>
      </c>
      <c r="J7" s="126" t="s">
        <v>35</v>
      </c>
      <c r="K7" s="126" t="s">
        <v>49</v>
      </c>
      <c r="L7" s="126" t="s">
        <v>37</v>
      </c>
      <c r="M7" s="126" t="s">
        <v>38</v>
      </c>
      <c r="N7" s="126" t="s">
        <v>50</v>
      </c>
      <c r="O7" s="155" t="s">
        <v>40</v>
      </c>
      <c r="P7" s="125"/>
      <c r="Q7" s="51">
        <v>46113</v>
      </c>
      <c r="R7"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46211</v>
      </c>
      <c r="S7" s="88">
        <f>IF(PRIORIDAD_UNO[[#This Row],[Fin Desarrollo]]="","",IF(ISBLANK(VLOOKUP(PRIORIDAD_UNO[[#This Row],[Nombre del requerimiento]],'Cálculos Manual'!A:H,8,FALSE)),WORKDAY(PRIORIDAD_UNO[[#This Row],[Fin Desarrollo]],5,FERIADOS[Fecha]), VLOOKUP(PRIORIDAD_UNO[[#This Row],[Nombre del requerimiento]],'Cálculos Manual'!A:H,8,FALSE)))</f>
        <v>46218</v>
      </c>
      <c r="T7"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46280</v>
      </c>
      <c r="U7" s="88">
        <f>IF(PRIORIDAD_UNO[[#This Row],[Fin Calidad]]="","",IF(ISBLANK(VLOOKUP(PRIORIDAD_UNO[[#This Row],[Nombre del requerimiento]],'Cálculos Manual'!A:L,12,FALSE)), WORKDAY(PRIORIDAD_UNO[[#This Row],[Fin Calidad]],5,FERIADOS[Fecha]), VLOOKUP(PRIORIDAD_UNO[[#This Row],[Nombre del requerimiento]],'Cálculos Manual'!A:L,12,FALSE)))</f>
        <v>46287</v>
      </c>
      <c r="V7"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46294</v>
      </c>
      <c r="W7" s="87">
        <f>IFERROR(PRIORIDAD_UNO[[#This Row],[Fin Producción]]-PRIORIDAD_UNO[[#This Row],[Comienzo Desarrollo]],"")</f>
        <v>181</v>
      </c>
      <c r="X7" s="132" t="str">
        <f>IF(ISBLANK(PRIORIDAD_UNO[[#This Row],[Comienzo Desarrollo]]),"Sin Fecha","Con Fecha")</f>
        <v>Con Fecha</v>
      </c>
      <c r="Y7" s="129" t="str">
        <f>IF(PRIORIDAD_UNO[[#This Row],[Esfuerzo Estimado Desarrollo]]="No definido","Sin esfuerzo","Con esfuerzo")</f>
        <v>Con esfuerzo</v>
      </c>
      <c r="Z7" s="156" t="str">
        <f ca="1">IF(ISBLANK(PRIORIDAD_UNO[[#This Row],[Comienzo Desarrollo]]),"🔵 Sin Fecha",
IF(PRIORIDAD_UNO[[#This Row],[Comienzo Desarrollo]]&lt;TODAY(),"🔴 Vencido",
IF(PRIORIDAD_UNO[[#This Row],[Comienzo Desarrollo]]=TODAY(),"🟡 Vence hoy",
IF((PRIORIDAD_UNO[[#This Row],[Comienzo Desarrollo]]-TODAY())&lt;=5,"🟠 Por vencer",
"🟢 A tiempo"))))</f>
        <v>🔴 Vencido</v>
      </c>
      <c r="AA7" s="239" t="str">
        <f>IF(PRIORIDAD_UNO[[#This Row],[Comienzo Producción]]="","Por Definir",_xlfn.CONCAT(YEAR(PRIORIDAD_UNO[[#This Row],[Comienzo Producción]])," - ", MONTH(PRIORIDAD_UNO[[#This Row],[Comienzo Producción]])))</f>
        <v>2026 - 9</v>
      </c>
      <c r="AB7" s="101" t="s">
        <v>116</v>
      </c>
      <c r="AC7" s="154"/>
    </row>
    <row r="8" spans="1:29" s="29" customFormat="1" ht="33.75" customHeight="1">
      <c r="A8" s="125" t="s">
        <v>118</v>
      </c>
      <c r="B8" s="30">
        <v>1</v>
      </c>
      <c r="C8" s="31">
        <v>14</v>
      </c>
      <c r="D8" s="31" t="s">
        <v>46</v>
      </c>
      <c r="E8"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8" s="30" t="s">
        <v>66</v>
      </c>
      <c r="G8" s="30" t="s">
        <v>119</v>
      </c>
      <c r="H8" s="30" t="s">
        <v>120</v>
      </c>
      <c r="I8" s="32" t="s">
        <v>121</v>
      </c>
      <c r="J8" s="30" t="s">
        <v>35</v>
      </c>
      <c r="K8" s="31" t="s">
        <v>36</v>
      </c>
      <c r="L8" s="31" t="s">
        <v>37</v>
      </c>
      <c r="M8" s="31" t="s">
        <v>38</v>
      </c>
      <c r="N8" s="31" t="s">
        <v>122</v>
      </c>
      <c r="O8" s="31" t="s">
        <v>123</v>
      </c>
      <c r="P8" s="112" t="s">
        <v>124</v>
      </c>
      <c r="Q8" s="121">
        <v>46251</v>
      </c>
      <c r="R8"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46412</v>
      </c>
      <c r="S8" s="88">
        <f>IF(PRIORIDAD_UNO[[#This Row],[Fin Desarrollo]]="","",IF(ISBLANK(VLOOKUP(PRIORIDAD_UNO[[#This Row],[Nombre del requerimiento]],'Cálculos Manual'!A:H,8,FALSE)),WORKDAY(PRIORIDAD_UNO[[#This Row],[Fin Desarrollo]],5,FERIADOS[Fecha]), VLOOKUP(PRIORIDAD_UNO[[#This Row],[Nombre del requerimiento]],'Cálculos Manual'!A:H,8,FALSE)))</f>
        <v>46419</v>
      </c>
      <c r="T8"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46491</v>
      </c>
      <c r="U8" s="88">
        <f>IF(PRIORIDAD_UNO[[#This Row],[Fin Calidad]]="","",IF(ISBLANK(VLOOKUP(PRIORIDAD_UNO[[#This Row],[Nombre del requerimiento]],'Cálculos Manual'!A:L,12,FALSE)), WORKDAY(PRIORIDAD_UNO[[#This Row],[Fin Calidad]],5,FERIADOS[Fecha]), VLOOKUP(PRIORIDAD_UNO[[#This Row],[Nombre del requerimiento]],'Cálculos Manual'!A:L,12,FALSE)))</f>
        <v>46498</v>
      </c>
      <c r="V8"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46512</v>
      </c>
      <c r="W8" s="87">
        <f>IFERROR(PRIORIDAD_UNO[[#This Row],[Fin Producción]]-PRIORIDAD_UNO[[#This Row],[Comienzo Desarrollo]],"")</f>
        <v>261</v>
      </c>
      <c r="X8" s="132" t="str">
        <f>IF(ISBLANK(PRIORIDAD_UNO[[#This Row],[Comienzo Desarrollo]]),"Sin Fecha","Con Fecha")</f>
        <v>Con Fecha</v>
      </c>
      <c r="Y8" s="129" t="str">
        <f>IF(PRIORIDAD_UNO[[#This Row],[Esfuerzo Estimado Desarrollo]]="No definido","Sin esfuerzo","Con esfuerzo")</f>
        <v>Con esfuerzo</v>
      </c>
      <c r="Z8"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8" s="239" t="str">
        <f>IF(PRIORIDAD_UNO[[#This Row],[Comienzo Producción]]="","Por Definir",_xlfn.CONCAT(YEAR(PRIORIDAD_UNO[[#This Row],[Comienzo Producción]])," - ", MONTH(PRIORIDAD_UNO[[#This Row],[Comienzo Producción]])))</f>
        <v>2027 - 4</v>
      </c>
      <c r="AB8" s="101">
        <v>3227</v>
      </c>
      <c r="AC8" s="154"/>
    </row>
    <row r="9" spans="1:29" s="29" customFormat="1" ht="33.75" customHeight="1">
      <c r="A9" s="213" t="s">
        <v>125</v>
      </c>
      <c r="B9" s="126">
        <v>1</v>
      </c>
      <c r="C9" s="126">
        <v>37</v>
      </c>
      <c r="D9" s="126" t="s">
        <v>75</v>
      </c>
      <c r="E9"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9" s="126" t="s">
        <v>66</v>
      </c>
      <c r="G9" s="126" t="s">
        <v>119</v>
      </c>
      <c r="H9" s="126" t="s">
        <v>120</v>
      </c>
      <c r="I9" s="125" t="s">
        <v>126</v>
      </c>
      <c r="J9" s="126" t="s">
        <v>35</v>
      </c>
      <c r="K9" s="126" t="s">
        <v>54</v>
      </c>
      <c r="L9" s="126" t="s">
        <v>79</v>
      </c>
      <c r="M9" s="126" t="s">
        <v>55</v>
      </c>
      <c r="N9" s="126" t="s">
        <v>56</v>
      </c>
      <c r="O9" s="126" t="s">
        <v>123</v>
      </c>
      <c r="P9" s="163" t="s">
        <v>127</v>
      </c>
      <c r="Q9" s="51"/>
      <c r="R9" s="88"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9" s="88" t="str">
        <f>IF(PRIORIDAD_UNO[[#This Row],[Fin Desarrollo]]="","",IF(ISBLANK(VLOOKUP(PRIORIDAD_UNO[[#This Row],[Nombre del requerimiento]],'Cálculos Manual'!A:H,8,FALSE)),WORKDAY(PRIORIDAD_UNO[[#This Row],[Fin Desarrollo]],5,FERIADOS[Fecha]), VLOOKUP(PRIORIDAD_UNO[[#This Row],[Nombre del requerimiento]],'Cálculos Manual'!A:H,8,FALSE)))</f>
        <v/>
      </c>
      <c r="T9" s="88"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9" s="88" t="str">
        <f>IF(PRIORIDAD_UNO[[#This Row],[Fin Calidad]]="","",IF(ISBLANK(VLOOKUP(PRIORIDAD_UNO[[#This Row],[Nombre del requerimiento]],'Cálculos Manual'!A:L,12,FALSE)), WORKDAY(PRIORIDAD_UNO[[#This Row],[Fin Calidad]],5,FERIADOS[Fecha]), VLOOKUP(PRIORIDAD_UNO[[#This Row],[Nombre del requerimiento]],'Cálculos Manual'!A:L,12,FALSE)))</f>
        <v/>
      </c>
      <c r="V9" s="88"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9" s="87" t="str">
        <f>IFERROR(PRIORIDAD_UNO[[#This Row],[Fin Producción]]-PRIORIDAD_UNO[[#This Row],[Comienzo Desarrollo]],"")</f>
        <v/>
      </c>
      <c r="X9" s="132" t="str">
        <f>IF(ISBLANK(PRIORIDAD_UNO[[#This Row],[Comienzo Desarrollo]]),"Sin Fecha","Con Fecha")</f>
        <v>Sin Fecha</v>
      </c>
      <c r="Y9" s="129" t="str">
        <f>IF(PRIORIDAD_UNO[[#This Row],[Esfuerzo Estimado Desarrollo]]="No definido","Sin esfuerzo","Con esfuerzo")</f>
        <v>Sin esfuerzo</v>
      </c>
      <c r="Z9" s="157"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9" s="239" t="str">
        <f>IF(PRIORIDAD_UNO[[#This Row],[Comienzo Producción]]="","Por Definir",_xlfn.CONCAT(YEAR(PRIORIDAD_UNO[[#This Row],[Comienzo Producción]])," - ", MONTH(PRIORIDAD_UNO[[#This Row],[Comienzo Producción]])))</f>
        <v>Por Definir</v>
      </c>
      <c r="AB9" s="101" t="s">
        <v>116</v>
      </c>
      <c r="AC9" s="154"/>
    </row>
    <row r="10" spans="1:29" s="29" customFormat="1" ht="33.75" customHeight="1">
      <c r="A10" s="213" t="s">
        <v>128</v>
      </c>
      <c r="B10" s="126">
        <v>1</v>
      </c>
      <c r="C10" s="126">
        <v>14</v>
      </c>
      <c r="D10" s="126" t="s">
        <v>29</v>
      </c>
      <c r="E10"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0" s="126" t="s">
        <v>68</v>
      </c>
      <c r="G10" s="126" t="s">
        <v>129</v>
      </c>
      <c r="H10" s="126" t="s">
        <v>130</v>
      </c>
      <c r="I10" s="125" t="s">
        <v>60</v>
      </c>
      <c r="J10" s="126" t="s">
        <v>35</v>
      </c>
      <c r="K10" s="126" t="s">
        <v>63</v>
      </c>
      <c r="L10" s="126" t="s">
        <v>37</v>
      </c>
      <c r="M10" s="126" t="s">
        <v>38</v>
      </c>
      <c r="N10" s="126" t="s">
        <v>131</v>
      </c>
      <c r="O10" s="126" t="s">
        <v>132</v>
      </c>
      <c r="P10" s="125"/>
      <c r="Q10" s="51">
        <v>46237</v>
      </c>
      <c r="R10"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46331</v>
      </c>
      <c r="S10" s="88">
        <f>IF(PRIORIDAD_UNO[[#This Row],[Fin Desarrollo]]="","",IF(ISBLANK(VLOOKUP(PRIORIDAD_UNO[[#This Row],[Nombre del requerimiento]],'Cálculos Manual'!A:H,8,FALSE)),WORKDAY(PRIORIDAD_UNO[[#This Row],[Fin Desarrollo]],5,FERIADOS[Fecha]), VLOOKUP(PRIORIDAD_UNO[[#This Row],[Nombre del requerimiento]],'Cálculos Manual'!A:H,8,FALSE)))</f>
        <v>46338</v>
      </c>
      <c r="T10"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46400</v>
      </c>
      <c r="U10" s="88">
        <f>IF(PRIORIDAD_UNO[[#This Row],[Fin Calidad]]="","",IF(ISBLANK(VLOOKUP(PRIORIDAD_UNO[[#This Row],[Nombre del requerimiento]],'Cálculos Manual'!A:L,12,FALSE)), WORKDAY(PRIORIDAD_UNO[[#This Row],[Fin Calidad]],5,FERIADOS[Fecha]), VLOOKUP(PRIORIDAD_UNO[[#This Row],[Nombre del requerimiento]],'Cálculos Manual'!A:L,12,FALSE)))</f>
        <v>46407</v>
      </c>
      <c r="V10"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46414</v>
      </c>
      <c r="W10" s="87">
        <f>IFERROR(PRIORIDAD_UNO[[#This Row],[Fin Producción]]-PRIORIDAD_UNO[[#This Row],[Comienzo Desarrollo]],"")</f>
        <v>177</v>
      </c>
      <c r="X10" s="132" t="str">
        <f>IF(ISBLANK(PRIORIDAD_UNO[[#This Row],[Comienzo Desarrollo]]),"Sin Fecha","Con Fecha")</f>
        <v>Con Fecha</v>
      </c>
      <c r="Y10" s="129" t="str">
        <f>IF(PRIORIDAD_UNO[[#This Row],[Esfuerzo Estimado Desarrollo]]="No definido","Sin esfuerzo","Con esfuerzo")</f>
        <v>Con esfuerzo</v>
      </c>
      <c r="Z10"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0" s="239" t="str">
        <f>IF(PRIORIDAD_UNO[[#This Row],[Comienzo Producción]]="","Por Definir",_xlfn.CONCAT(YEAR(PRIORIDAD_UNO[[#This Row],[Comienzo Producción]])," - ", MONTH(PRIORIDAD_UNO[[#This Row],[Comienzo Producción]])))</f>
        <v>2027 - 1</v>
      </c>
      <c r="AB10" s="101" t="s">
        <v>116</v>
      </c>
      <c r="AC10" s="154"/>
    </row>
    <row r="11" spans="1:29" s="29" customFormat="1" ht="33.75" customHeight="1">
      <c r="A11" s="213" t="s">
        <v>133</v>
      </c>
      <c r="B11" s="33">
        <v>1</v>
      </c>
      <c r="C11" s="33">
        <v>19</v>
      </c>
      <c r="D11" s="33" t="s">
        <v>134</v>
      </c>
      <c r="E11"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1" s="31" t="s">
        <v>66</v>
      </c>
      <c r="G11" s="31" t="s">
        <v>119</v>
      </c>
      <c r="H11" s="33" t="s">
        <v>135</v>
      </c>
      <c r="I11" s="145" t="s">
        <v>136</v>
      </c>
      <c r="J11" s="101" t="s">
        <v>35</v>
      </c>
      <c r="K11" s="33" t="s">
        <v>36</v>
      </c>
      <c r="L11" s="33" t="s">
        <v>37</v>
      </c>
      <c r="M11" s="33" t="s">
        <v>38</v>
      </c>
      <c r="N11" s="33" t="s">
        <v>137</v>
      </c>
      <c r="O11" s="33" t="s">
        <v>123</v>
      </c>
      <c r="P11" s="137" t="s">
        <v>138</v>
      </c>
      <c r="Q11" s="123">
        <v>46223</v>
      </c>
      <c r="R11" s="122">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46322</v>
      </c>
      <c r="S11" s="122">
        <f>IF(PRIORIDAD_UNO[[#This Row],[Fin Desarrollo]]="","",IF(ISBLANK(VLOOKUP(PRIORIDAD_UNO[[#This Row],[Nombre del requerimiento]],'Cálculos Manual'!A:H,8,FALSE)),WORKDAY(PRIORIDAD_UNO[[#This Row],[Fin Desarrollo]],5,FERIADOS[Fecha]), VLOOKUP(PRIORIDAD_UNO[[#This Row],[Nombre del requerimiento]],'Cálculos Manual'!A:H,8,FALSE)))</f>
        <v>46329</v>
      </c>
      <c r="T11" s="122">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46391</v>
      </c>
      <c r="U11" s="122">
        <f>IF(PRIORIDAD_UNO[[#This Row],[Fin Calidad]]="","",IF(ISBLANK(VLOOKUP(PRIORIDAD_UNO[[#This Row],[Nombre del requerimiento]],'Cálculos Manual'!A:L,12,FALSE)), WORKDAY(PRIORIDAD_UNO[[#This Row],[Fin Calidad]],5,FERIADOS[Fecha]), VLOOKUP(PRIORIDAD_UNO[[#This Row],[Nombre del requerimiento]],'Cálculos Manual'!A:L,12,FALSE)))</f>
        <v>46398</v>
      </c>
      <c r="V11" s="122">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46405</v>
      </c>
      <c r="W11" s="38">
        <f>IFERROR(PRIORIDAD_UNO[[#This Row],[Fin Producción]]-PRIORIDAD_UNO[[#This Row],[Comienzo Desarrollo]],"")</f>
        <v>182</v>
      </c>
      <c r="X11" s="132" t="str">
        <f>IF(ISBLANK(PRIORIDAD_UNO[[#This Row],[Comienzo Desarrollo]]),"Sin Fecha","Con Fecha")</f>
        <v>Con Fecha</v>
      </c>
      <c r="Y11" s="129" t="str">
        <f>IF(PRIORIDAD_UNO[[#This Row],[Esfuerzo Estimado Desarrollo]]="No definido","Sin esfuerzo","Con esfuerzo")</f>
        <v>Con esfuerzo</v>
      </c>
      <c r="Z11"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1" s="239" t="str">
        <f>IF(PRIORIDAD_UNO[[#This Row],[Comienzo Producción]]="","Por Definir",_xlfn.CONCAT(YEAR(PRIORIDAD_UNO[[#This Row],[Comienzo Producción]])," - ", MONTH(PRIORIDAD_UNO[[#This Row],[Comienzo Producción]])))</f>
        <v>2027 - 1</v>
      </c>
      <c r="AB11" s="101" t="s">
        <v>116</v>
      </c>
      <c r="AC11" s="154"/>
    </row>
    <row r="12" spans="1:29" s="29" customFormat="1" ht="33.75" customHeight="1">
      <c r="A12" s="125" t="s">
        <v>51</v>
      </c>
      <c r="B12" s="126">
        <v>1</v>
      </c>
      <c r="C12" s="126">
        <v>1</v>
      </c>
      <c r="D12" s="126" t="s">
        <v>46</v>
      </c>
      <c r="E12"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12" s="126" t="s">
        <v>31</v>
      </c>
      <c r="G12" s="126" t="s">
        <v>32</v>
      </c>
      <c r="H12" s="126" t="s">
        <v>33</v>
      </c>
      <c r="I12" s="125" t="s">
        <v>53</v>
      </c>
      <c r="J12" s="126" t="s">
        <v>35</v>
      </c>
      <c r="K12" s="126" t="s">
        <v>54</v>
      </c>
      <c r="L12" s="126" t="s">
        <v>37</v>
      </c>
      <c r="M12" s="126" t="s">
        <v>55</v>
      </c>
      <c r="N12" s="126" t="s">
        <v>56</v>
      </c>
      <c r="O12" s="126" t="s">
        <v>40</v>
      </c>
      <c r="P12" s="125"/>
      <c r="Q12" s="51">
        <v>46204</v>
      </c>
      <c r="R12"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46367</v>
      </c>
      <c r="S12" s="88">
        <f>IF(PRIORIDAD_UNO[[#This Row],[Fin Desarrollo]]="","",IF(ISBLANK(VLOOKUP(PRIORIDAD_UNO[[#This Row],[Nombre del requerimiento]],'Cálculos Manual'!A:H,8,FALSE)),WORKDAY(PRIORIDAD_UNO[[#This Row],[Fin Desarrollo]],5,FERIADOS[Fecha]), VLOOKUP(PRIORIDAD_UNO[[#This Row],[Nombre del requerimiento]],'Cálculos Manual'!A:H,8,FALSE)))</f>
        <v>46374</v>
      </c>
      <c r="T12"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46448</v>
      </c>
      <c r="U12" s="88">
        <f>IF(PRIORIDAD_UNO[[#This Row],[Fin Calidad]]="","",IF(ISBLANK(VLOOKUP(PRIORIDAD_UNO[[#This Row],[Nombre del requerimiento]],'Cálculos Manual'!A:L,12,FALSE)), WORKDAY(PRIORIDAD_UNO[[#This Row],[Fin Calidad]],5,FERIADOS[Fecha]), VLOOKUP(PRIORIDAD_UNO[[#This Row],[Nombre del requerimiento]],'Cálculos Manual'!A:L,12,FALSE)))</f>
        <v>46455</v>
      </c>
      <c r="V12"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46469</v>
      </c>
      <c r="W12" s="87">
        <f>IFERROR(PRIORIDAD_UNO[[#This Row],[Fin Producción]]-PRIORIDAD_UNO[[#This Row],[Comienzo Desarrollo]],"")</f>
        <v>265</v>
      </c>
      <c r="X12" s="132" t="str">
        <f>IF(ISBLANK(PRIORIDAD_UNO[[#This Row],[Comienzo Desarrollo]]),"Sin Fecha","Con Fecha")</f>
        <v>Con Fecha</v>
      </c>
      <c r="Y12" s="129" t="str">
        <f>IF(PRIORIDAD_UNO[[#This Row],[Esfuerzo Estimado Desarrollo]]="No definido","Sin esfuerzo","Con esfuerzo")</f>
        <v>Con esfuerzo</v>
      </c>
      <c r="Z12" s="158"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2" s="239" t="str">
        <f>IF(PRIORIDAD_UNO[[#This Row],[Comienzo Producción]]="","Por Definir",_xlfn.CONCAT(YEAR(PRIORIDAD_UNO[[#This Row],[Comienzo Producción]])," - ", MONTH(PRIORIDAD_UNO[[#This Row],[Comienzo Producción]])))</f>
        <v>2027 - 3</v>
      </c>
      <c r="AB12" s="101">
        <v>3141</v>
      </c>
      <c r="AC12" s="154"/>
    </row>
    <row r="13" spans="1:29" s="29" customFormat="1" ht="33.75" customHeight="1">
      <c r="A13" s="125" t="s">
        <v>139</v>
      </c>
      <c r="B13" s="126">
        <v>1</v>
      </c>
      <c r="C13" s="126">
        <v>9</v>
      </c>
      <c r="D13" s="126" t="s">
        <v>140</v>
      </c>
      <c r="E13"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13" s="126" t="s">
        <v>31</v>
      </c>
      <c r="G13" s="126" t="s">
        <v>32</v>
      </c>
      <c r="H13" s="126" t="s">
        <v>141</v>
      </c>
      <c r="I13" s="125" t="s">
        <v>142</v>
      </c>
      <c r="J13" s="126" t="s">
        <v>35</v>
      </c>
      <c r="K13" s="126" t="s">
        <v>62</v>
      </c>
      <c r="L13" s="126" t="s">
        <v>37</v>
      </c>
      <c r="M13" s="126" t="s">
        <v>38</v>
      </c>
      <c r="N13" s="126" t="s">
        <v>50</v>
      </c>
      <c r="O13" s="126" t="s">
        <v>40</v>
      </c>
      <c r="P13" s="125" t="s">
        <v>105</v>
      </c>
      <c r="Q13" s="51">
        <v>46266</v>
      </c>
      <c r="R13"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46427</v>
      </c>
      <c r="S13" s="88">
        <f>IF(PRIORIDAD_UNO[[#This Row],[Fin Desarrollo]]="","",IF(ISBLANK(VLOOKUP(PRIORIDAD_UNO[[#This Row],[Nombre del requerimiento]],'Cálculos Manual'!A:H,8,FALSE)),WORKDAY(PRIORIDAD_UNO[[#This Row],[Fin Desarrollo]],5,FERIADOS[Fecha]), VLOOKUP(PRIORIDAD_UNO[[#This Row],[Nombre del requerimiento]],'Cálculos Manual'!A:H,8,FALSE)))</f>
        <v>46434</v>
      </c>
      <c r="T13"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46506</v>
      </c>
      <c r="U13" s="88">
        <f>IF(PRIORIDAD_UNO[[#This Row],[Fin Calidad]]="","",IF(ISBLANK(VLOOKUP(PRIORIDAD_UNO[[#This Row],[Nombre del requerimiento]],'Cálculos Manual'!A:L,12,FALSE)), WORKDAY(PRIORIDAD_UNO[[#This Row],[Fin Calidad]],5,FERIADOS[Fecha]), VLOOKUP(PRIORIDAD_UNO[[#This Row],[Nombre del requerimiento]],'Cálculos Manual'!A:L,12,FALSE)))</f>
        <v>46513</v>
      </c>
      <c r="V13"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46527</v>
      </c>
      <c r="W13" s="87">
        <f>IFERROR(PRIORIDAD_UNO[[#This Row],[Fin Producción]]-PRIORIDAD_UNO[[#This Row],[Comienzo Desarrollo]],"")</f>
        <v>261</v>
      </c>
      <c r="X13" s="132" t="str">
        <f>IF(ISBLANK(PRIORIDAD_UNO[[#This Row],[Comienzo Desarrollo]]),"Sin Fecha","Con Fecha")</f>
        <v>Con Fecha</v>
      </c>
      <c r="Y13" s="129" t="str">
        <f>IF(PRIORIDAD_UNO[[#This Row],[Esfuerzo Estimado Desarrollo]]="No definido","Sin esfuerzo","Con esfuerzo")</f>
        <v>Con esfuerzo</v>
      </c>
      <c r="Z13"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3" s="239" t="str">
        <f>IF(PRIORIDAD_UNO[[#This Row],[Comienzo Producción]]="","Por Definir",_xlfn.CONCAT(YEAR(PRIORIDAD_UNO[[#This Row],[Comienzo Producción]])," - ", MONTH(PRIORIDAD_UNO[[#This Row],[Comienzo Producción]])))</f>
        <v>2027 - 5</v>
      </c>
      <c r="AB13" s="101">
        <v>3200</v>
      </c>
      <c r="AC13" s="154"/>
    </row>
    <row r="14" spans="1:29" s="29" customFormat="1" ht="33.75" customHeight="1">
      <c r="A14" s="213" t="s">
        <v>143</v>
      </c>
      <c r="B14" s="30">
        <v>1</v>
      </c>
      <c r="C14" s="30">
        <v>20</v>
      </c>
      <c r="D14" s="31" t="s">
        <v>29</v>
      </c>
      <c r="E14"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4" s="30" t="s">
        <v>66</v>
      </c>
      <c r="G14" s="30" t="s">
        <v>119</v>
      </c>
      <c r="H14" s="30" t="s">
        <v>120</v>
      </c>
      <c r="I14" s="32" t="s">
        <v>144</v>
      </c>
      <c r="J14" s="47" t="s">
        <v>35</v>
      </c>
      <c r="K14" s="31" t="s">
        <v>36</v>
      </c>
      <c r="L14" s="31" t="s">
        <v>37</v>
      </c>
      <c r="M14" s="31" t="s">
        <v>55</v>
      </c>
      <c r="N14" s="31" t="s">
        <v>145</v>
      </c>
      <c r="O14" s="31" t="s">
        <v>123</v>
      </c>
      <c r="P14" s="34" t="s">
        <v>146</v>
      </c>
      <c r="Q14" s="121">
        <v>46188</v>
      </c>
      <c r="R14"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46287</v>
      </c>
      <c r="S14" s="88">
        <f>IF(PRIORIDAD_UNO[[#This Row],[Fin Desarrollo]]="","",IF(ISBLANK(VLOOKUP(PRIORIDAD_UNO[[#This Row],[Nombre del requerimiento]],'Cálculos Manual'!A:H,8,FALSE)),WORKDAY(PRIORIDAD_UNO[[#This Row],[Fin Desarrollo]],5,FERIADOS[Fecha]), VLOOKUP(PRIORIDAD_UNO[[#This Row],[Nombre del requerimiento]],'Cálculos Manual'!A:H,8,FALSE)))</f>
        <v>46294</v>
      </c>
      <c r="T14"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46351</v>
      </c>
      <c r="U14" s="88">
        <f>IF(PRIORIDAD_UNO[[#This Row],[Fin Calidad]]="","",IF(ISBLANK(VLOOKUP(PRIORIDAD_UNO[[#This Row],[Nombre del requerimiento]],'Cálculos Manual'!A:L,12,FALSE)), WORKDAY(PRIORIDAD_UNO[[#This Row],[Fin Calidad]],5,FERIADOS[Fecha]), VLOOKUP(PRIORIDAD_UNO[[#This Row],[Nombre del requerimiento]],'Cálculos Manual'!A:L,12,FALSE)))</f>
        <v>46358</v>
      </c>
      <c r="V14"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46367</v>
      </c>
      <c r="W14" s="87">
        <f>IFERROR(PRIORIDAD_UNO[[#This Row],[Fin Producción]]-PRIORIDAD_UNO[[#This Row],[Comienzo Desarrollo]],"")</f>
        <v>179</v>
      </c>
      <c r="X14" s="132" t="str">
        <f>IF(ISBLANK(PRIORIDAD_UNO[[#This Row],[Comienzo Desarrollo]]),"Sin Fecha","Con Fecha")</f>
        <v>Con Fecha</v>
      </c>
      <c r="Y14" s="129" t="str">
        <f>IF(PRIORIDAD_UNO[[#This Row],[Esfuerzo Estimado Desarrollo]]="No definido","Sin esfuerzo","Con esfuerzo")</f>
        <v>Con esfuerzo</v>
      </c>
      <c r="Z14" s="133" t="str">
        <f ca="1">IF(ISBLANK(PRIORIDAD_UNO[[#This Row],[Comienzo Desarrollo]]),"🔵 Sin Fecha",
IF(PRIORIDAD_UNO[[#This Row],[Comienzo Desarrollo]]&lt;TODAY(),"🔴 Vencido",
IF(PRIORIDAD_UNO[[#This Row],[Comienzo Desarrollo]]=TODAY(),"🟡 Vence hoy",
IF((PRIORIDAD_UNO[[#This Row],[Comienzo Desarrollo]]-TODAY())&lt;=5,"🟠 Por vencer",
"🟢 A tiempo"))))</f>
        <v>🟠 Por vencer</v>
      </c>
      <c r="AA14" s="239" t="str">
        <f>IF(PRIORIDAD_UNO[[#This Row],[Comienzo Producción]]="","Por Definir",_xlfn.CONCAT(YEAR(PRIORIDAD_UNO[[#This Row],[Comienzo Producción]])," - ", MONTH(PRIORIDAD_UNO[[#This Row],[Comienzo Producción]])))</f>
        <v>2026 - 12</v>
      </c>
      <c r="AB14" s="101" t="s">
        <v>116</v>
      </c>
      <c r="AC14" s="154"/>
    </row>
    <row r="15" spans="1:29" s="29" customFormat="1" ht="33.75" customHeight="1">
      <c r="A15" s="213" t="s">
        <v>147</v>
      </c>
      <c r="B15" s="155">
        <v>1</v>
      </c>
      <c r="C15" s="155">
        <v>3</v>
      </c>
      <c r="D15" s="155" t="s">
        <v>113</v>
      </c>
      <c r="E15"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15" s="155" t="s">
        <v>65</v>
      </c>
      <c r="G15" s="155" t="s">
        <v>148</v>
      </c>
      <c r="H15" s="155" t="s">
        <v>149</v>
      </c>
      <c r="I15" s="159" t="s">
        <v>150</v>
      </c>
      <c r="J15" s="126" t="s">
        <v>35</v>
      </c>
      <c r="K15" s="155" t="s">
        <v>63</v>
      </c>
      <c r="L15" s="155" t="s">
        <v>37</v>
      </c>
      <c r="M15" s="155" t="s">
        <v>151</v>
      </c>
      <c r="N15" s="155" t="s">
        <v>152</v>
      </c>
      <c r="O15" s="155" t="s">
        <v>153</v>
      </c>
      <c r="P15" s="159" t="s">
        <v>154</v>
      </c>
      <c r="Q15" s="50">
        <v>46183</v>
      </c>
      <c r="R15"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46227</v>
      </c>
      <c r="S15" s="88">
        <f>IF(PRIORIDAD_UNO[[#This Row],[Fin Desarrollo]]="","",IF(ISBLANK(VLOOKUP(PRIORIDAD_UNO[[#This Row],[Nombre del requerimiento]],'Cálculos Manual'!A:H,8,FALSE)),WORKDAY(PRIORIDAD_UNO[[#This Row],[Fin Desarrollo]],5,FERIADOS[Fecha]), VLOOKUP(PRIORIDAD_UNO[[#This Row],[Nombre del requerimiento]],'Cálculos Manual'!A:H,8,FALSE)))</f>
        <v>46238</v>
      </c>
      <c r="T15"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46281</v>
      </c>
      <c r="U15" s="88">
        <f>IF(PRIORIDAD_UNO[[#This Row],[Fin Calidad]]="","",IF(ISBLANK(VLOOKUP(PRIORIDAD_UNO[[#This Row],[Nombre del requerimiento]],'Cálculos Manual'!A:L,12,FALSE)), WORKDAY(PRIORIDAD_UNO[[#This Row],[Fin Calidad]],5,FERIADOS[Fecha]), VLOOKUP(PRIORIDAD_UNO[[#This Row],[Nombre del requerimiento]],'Cálculos Manual'!A:L,12,FALSE)))</f>
        <v>46288</v>
      </c>
      <c r="V15"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46295</v>
      </c>
      <c r="W15" s="87">
        <f>IFERROR(PRIORIDAD_UNO[[#This Row],[Fin Producción]]-PRIORIDAD_UNO[[#This Row],[Comienzo Desarrollo]],"")</f>
        <v>112</v>
      </c>
      <c r="X15" s="132" t="str">
        <f>IF(ISBLANK(PRIORIDAD_UNO[[#This Row],[Comienzo Desarrollo]]),"Sin Fecha","Con Fecha")</f>
        <v>Con Fecha</v>
      </c>
      <c r="Y15" s="129" t="str">
        <f>IF(PRIORIDAD_UNO[[#This Row],[Esfuerzo Estimado Desarrollo]]="No definido","Sin esfuerzo","Con esfuerzo")</f>
        <v>Con esfuerzo</v>
      </c>
      <c r="Z15" s="133" t="str">
        <f ca="1">IF(ISBLANK(PRIORIDAD_UNO[[#This Row],[Comienzo Desarrollo]]),"🔵 Sin Fecha",
IF(PRIORIDAD_UNO[[#This Row],[Comienzo Desarrollo]]&lt;TODAY(),"🔴 Vencido",
IF(PRIORIDAD_UNO[[#This Row],[Comienzo Desarrollo]]=TODAY(),"🟡 Vence hoy",
IF((PRIORIDAD_UNO[[#This Row],[Comienzo Desarrollo]]-TODAY())&lt;=5,"🟠 Por vencer",
"🟢 A tiempo"))))</f>
        <v>🔴 Vencido</v>
      </c>
      <c r="AA15" s="239" t="str">
        <f>IF(PRIORIDAD_UNO[[#This Row],[Comienzo Producción]]="","Por Definir",_xlfn.CONCAT(YEAR(PRIORIDAD_UNO[[#This Row],[Comienzo Producción]])," - ", MONTH(PRIORIDAD_UNO[[#This Row],[Comienzo Producción]])))</f>
        <v>2026 - 9</v>
      </c>
      <c r="AB15" s="101">
        <v>3265</v>
      </c>
      <c r="AC15" s="154"/>
    </row>
    <row r="16" spans="1:29" s="29" customFormat="1" ht="33.75" customHeight="1">
      <c r="A16" s="125" t="s">
        <v>155</v>
      </c>
      <c r="B16" s="126">
        <v>1</v>
      </c>
      <c r="C16" s="126">
        <v>43</v>
      </c>
      <c r="D16" s="126" t="s">
        <v>156</v>
      </c>
      <c r="E16"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Extra Grande</v>
      </c>
      <c r="F16" s="126" t="s">
        <v>66</v>
      </c>
      <c r="G16" s="126" t="s">
        <v>157</v>
      </c>
      <c r="H16" s="126" t="s">
        <v>158</v>
      </c>
      <c r="I16" s="125" t="s">
        <v>159</v>
      </c>
      <c r="J16" s="155" t="s">
        <v>35</v>
      </c>
      <c r="K16" s="126" t="s">
        <v>54</v>
      </c>
      <c r="L16" s="126" t="s">
        <v>37</v>
      </c>
      <c r="M16" s="126" t="s">
        <v>151</v>
      </c>
      <c r="N16" s="126" t="s">
        <v>160</v>
      </c>
      <c r="O16" s="126" t="s">
        <v>123</v>
      </c>
      <c r="P16" s="125"/>
      <c r="Q16" s="51">
        <v>46300</v>
      </c>
      <c r="R16"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46525</v>
      </c>
      <c r="S16" s="88">
        <f>IF(PRIORIDAD_UNO[[#This Row],[Fin Desarrollo]]="","",IF(ISBLANK(VLOOKUP(PRIORIDAD_UNO[[#This Row],[Nombre del requerimiento]],'Cálculos Manual'!A:H,8,FALSE)),WORKDAY(PRIORIDAD_UNO[[#This Row],[Fin Desarrollo]],5,FERIADOS[Fecha]), VLOOKUP(PRIORIDAD_UNO[[#This Row],[Nombre del requerimiento]],'Cálculos Manual'!A:H,8,FALSE)))</f>
        <v>46532</v>
      </c>
      <c r="T16"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46610</v>
      </c>
      <c r="U16" s="88">
        <f>IF(PRIORIDAD_UNO[[#This Row],[Fin Calidad]]="","",IF(ISBLANK(VLOOKUP(PRIORIDAD_UNO[[#This Row],[Nombre del requerimiento]],'Cálculos Manual'!A:L,12,FALSE)), WORKDAY(PRIORIDAD_UNO[[#This Row],[Fin Calidad]],5,FERIADOS[Fecha]), VLOOKUP(PRIORIDAD_UNO[[#This Row],[Nombre del requerimiento]],'Cálculos Manual'!A:L,12,FALSE)))</f>
        <v>46617</v>
      </c>
      <c r="V16"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46624</v>
      </c>
      <c r="W16" s="87">
        <f>IFERROR(PRIORIDAD_UNO[[#This Row],[Fin Producción]]-PRIORIDAD_UNO[[#This Row],[Comienzo Desarrollo]],"")</f>
        <v>324</v>
      </c>
      <c r="X16" s="132" t="str">
        <f>IF(ISBLANK(PRIORIDAD_UNO[[#This Row],[Comienzo Desarrollo]]),"Sin Fecha","Con Fecha")</f>
        <v>Con Fecha</v>
      </c>
      <c r="Y16" s="129" t="str">
        <f>IF(PRIORIDAD_UNO[[#This Row],[Esfuerzo Estimado Desarrollo]]="No definido","Sin esfuerzo","Con esfuerzo")</f>
        <v>Con esfuerzo</v>
      </c>
      <c r="Z16"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6" s="239" t="str">
        <f>IF(PRIORIDAD_UNO[[#This Row],[Comienzo Producción]]="","Por Definir",_xlfn.CONCAT(YEAR(PRIORIDAD_UNO[[#This Row],[Comienzo Producción]])," - ", MONTH(PRIORIDAD_UNO[[#This Row],[Comienzo Producción]])))</f>
        <v>2027 - 8</v>
      </c>
      <c r="AB16" s="101">
        <v>3247</v>
      </c>
      <c r="AC16" s="154"/>
    </row>
    <row r="17" spans="1:29" s="29" customFormat="1" ht="33.75" customHeight="1">
      <c r="A17" s="213" t="s">
        <v>161</v>
      </c>
      <c r="B17" s="126">
        <v>1</v>
      </c>
      <c r="C17" s="126">
        <v>6</v>
      </c>
      <c r="D17" s="126" t="s">
        <v>162</v>
      </c>
      <c r="E17"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7" s="126" t="s">
        <v>70</v>
      </c>
      <c r="G17" s="126" t="s">
        <v>163</v>
      </c>
      <c r="H17" s="126" t="s">
        <v>164</v>
      </c>
      <c r="I17" s="125" t="s">
        <v>165</v>
      </c>
      <c r="J17" s="47" t="s">
        <v>35</v>
      </c>
      <c r="K17" s="126" t="s">
        <v>63</v>
      </c>
      <c r="L17" s="126" t="s">
        <v>37</v>
      </c>
      <c r="M17" s="126" t="s">
        <v>38</v>
      </c>
      <c r="N17" s="126" t="s">
        <v>166</v>
      </c>
      <c r="O17" s="126" t="s">
        <v>167</v>
      </c>
      <c r="P17" s="125"/>
      <c r="Q17" s="51">
        <v>46237</v>
      </c>
      <c r="R17"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46331</v>
      </c>
      <c r="S17" s="88">
        <f>IF(PRIORIDAD_UNO[[#This Row],[Fin Desarrollo]]="","",IF(ISBLANK(VLOOKUP(PRIORIDAD_UNO[[#This Row],[Nombre del requerimiento]],'Cálculos Manual'!A:H,8,FALSE)),WORKDAY(PRIORIDAD_UNO[[#This Row],[Fin Desarrollo]],5,FERIADOS[Fecha]), VLOOKUP(PRIORIDAD_UNO[[#This Row],[Nombre del requerimiento]],'Cálculos Manual'!A:H,8,FALSE)))</f>
        <v>46338</v>
      </c>
      <c r="T17"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46400</v>
      </c>
      <c r="U17" s="88">
        <f>IF(PRIORIDAD_UNO[[#This Row],[Fin Calidad]]="","",IF(ISBLANK(VLOOKUP(PRIORIDAD_UNO[[#This Row],[Nombre del requerimiento]],'Cálculos Manual'!A:L,12,FALSE)), WORKDAY(PRIORIDAD_UNO[[#This Row],[Fin Calidad]],5,FERIADOS[Fecha]), VLOOKUP(PRIORIDAD_UNO[[#This Row],[Nombre del requerimiento]],'Cálculos Manual'!A:L,12,FALSE)))</f>
        <v>46407</v>
      </c>
      <c r="V17"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46414</v>
      </c>
      <c r="W17" s="87">
        <f>IFERROR(PRIORIDAD_UNO[[#This Row],[Fin Producción]]-PRIORIDAD_UNO[[#This Row],[Comienzo Desarrollo]],"")</f>
        <v>177</v>
      </c>
      <c r="X17" s="132" t="str">
        <f>IF(ISBLANK(PRIORIDAD_UNO[[#This Row],[Comienzo Desarrollo]]),"Sin Fecha","Con Fecha")</f>
        <v>Con Fecha</v>
      </c>
      <c r="Y17" s="129" t="str">
        <f>IF(PRIORIDAD_UNO[[#This Row],[Esfuerzo Estimado Desarrollo]]="No definido","Sin esfuerzo","Con esfuerzo")</f>
        <v>Con esfuerzo</v>
      </c>
      <c r="Z17" s="158"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7" s="239" t="str">
        <f>IF(PRIORIDAD_UNO[[#This Row],[Comienzo Producción]]="","Por Definir",_xlfn.CONCAT(YEAR(PRIORIDAD_UNO[[#This Row],[Comienzo Producción]])," - ", MONTH(PRIORIDAD_UNO[[#This Row],[Comienzo Producción]])))</f>
        <v>2027 - 1</v>
      </c>
      <c r="AB17" s="101" t="s">
        <v>116</v>
      </c>
      <c r="AC17" s="154"/>
    </row>
    <row r="18" spans="1:29" s="29" customFormat="1" ht="33.75" customHeight="1">
      <c r="A18" s="112" t="s">
        <v>168</v>
      </c>
      <c r="B18" s="126">
        <v>1</v>
      </c>
      <c r="C18" s="126">
        <v>1</v>
      </c>
      <c r="D18" s="126" t="s">
        <v>162</v>
      </c>
      <c r="E18"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8" s="126" t="s">
        <v>31</v>
      </c>
      <c r="G18" s="126" t="s">
        <v>32</v>
      </c>
      <c r="H18" s="126" t="s">
        <v>141</v>
      </c>
      <c r="I18" s="125" t="s">
        <v>169</v>
      </c>
      <c r="J18" s="155" t="s">
        <v>35</v>
      </c>
      <c r="K18" s="126" t="s">
        <v>62</v>
      </c>
      <c r="L18" s="126" t="s">
        <v>37</v>
      </c>
      <c r="M18" s="126" t="s">
        <v>38</v>
      </c>
      <c r="N18" s="126" t="s">
        <v>50</v>
      </c>
      <c r="O18" s="126" t="s">
        <v>40</v>
      </c>
      <c r="P18" s="125" t="s">
        <v>170</v>
      </c>
      <c r="Q18" s="51">
        <v>46235</v>
      </c>
      <c r="R18"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46330</v>
      </c>
      <c r="S18" s="88">
        <f>IF(PRIORIDAD_UNO[[#This Row],[Fin Desarrollo]]="","",IF(ISBLANK(VLOOKUP(PRIORIDAD_UNO[[#This Row],[Nombre del requerimiento]],'Cálculos Manual'!A:H,8,FALSE)),WORKDAY(PRIORIDAD_UNO[[#This Row],[Fin Desarrollo]],5,FERIADOS[Fecha]), VLOOKUP(PRIORIDAD_UNO[[#This Row],[Nombre del requerimiento]],'Cálculos Manual'!A:H,8,FALSE)))</f>
        <v>46337</v>
      </c>
      <c r="T18"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46399</v>
      </c>
      <c r="U18" s="88">
        <f>IF(PRIORIDAD_UNO[[#This Row],[Fin Calidad]]="","",IF(ISBLANK(VLOOKUP(PRIORIDAD_UNO[[#This Row],[Nombre del requerimiento]],'Cálculos Manual'!A:L,12,FALSE)), WORKDAY(PRIORIDAD_UNO[[#This Row],[Fin Calidad]],5,FERIADOS[Fecha]), VLOOKUP(PRIORIDAD_UNO[[#This Row],[Nombre del requerimiento]],'Cálculos Manual'!A:L,12,FALSE)))</f>
        <v>46406</v>
      </c>
      <c r="V18"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46413</v>
      </c>
      <c r="W18" s="87">
        <f>IFERROR(PRIORIDAD_UNO[[#This Row],[Fin Producción]]-PRIORIDAD_UNO[[#This Row],[Comienzo Desarrollo]],"")</f>
        <v>178</v>
      </c>
      <c r="X18" s="132" t="str">
        <f>IF(ISBLANK(PRIORIDAD_UNO[[#This Row],[Comienzo Desarrollo]]),"Sin Fecha","Con Fecha")</f>
        <v>Con Fecha</v>
      </c>
      <c r="Y18" s="129" t="str">
        <f>IF(PRIORIDAD_UNO[[#This Row],[Esfuerzo Estimado Desarrollo]]="No definido","Sin esfuerzo","Con esfuerzo")</f>
        <v>Con esfuerzo</v>
      </c>
      <c r="Z18"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8" s="239" t="str">
        <f>IF(PRIORIDAD_UNO[[#This Row],[Comienzo Producción]]="","Por Definir",_xlfn.CONCAT(YEAR(PRIORIDAD_UNO[[#This Row],[Comienzo Producción]])," - ", MONTH(PRIORIDAD_UNO[[#This Row],[Comienzo Producción]])))</f>
        <v>2027 - 1</v>
      </c>
      <c r="AB18" s="101">
        <v>3194</v>
      </c>
      <c r="AC18" s="154"/>
    </row>
    <row r="19" spans="1:29" s="29" customFormat="1" ht="33.75" customHeight="1">
      <c r="A19" s="125" t="s">
        <v>171</v>
      </c>
      <c r="B19" s="30">
        <v>1</v>
      </c>
      <c r="C19" s="30">
        <v>9</v>
      </c>
      <c r="D19" s="31" t="s">
        <v>29</v>
      </c>
      <c r="E19"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9" s="30" t="s">
        <v>66</v>
      </c>
      <c r="G19" s="30" t="s">
        <v>172</v>
      </c>
      <c r="H19" s="30" t="s">
        <v>173</v>
      </c>
      <c r="I19" s="32" t="s">
        <v>174</v>
      </c>
      <c r="J19" s="101" t="s">
        <v>35</v>
      </c>
      <c r="K19" s="31" t="s">
        <v>36</v>
      </c>
      <c r="L19" s="31" t="s">
        <v>37</v>
      </c>
      <c r="M19" s="31" t="s">
        <v>38</v>
      </c>
      <c r="N19" s="31" t="s">
        <v>175</v>
      </c>
      <c r="O19" s="31" t="s">
        <v>123</v>
      </c>
      <c r="P19" s="34" t="s">
        <v>176</v>
      </c>
      <c r="Q19" s="121">
        <v>46174</v>
      </c>
      <c r="R19"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46273</v>
      </c>
      <c r="S19" s="88">
        <f>IF(PRIORIDAD_UNO[[#This Row],[Fin Desarrollo]]="","",IF(ISBLANK(VLOOKUP(PRIORIDAD_UNO[[#This Row],[Nombre del requerimiento]],'Cálculos Manual'!A:H,8,FALSE)),WORKDAY(PRIORIDAD_UNO[[#This Row],[Fin Desarrollo]],5,FERIADOS[Fecha]), VLOOKUP(PRIORIDAD_UNO[[#This Row],[Nombre del requerimiento]],'Cálculos Manual'!A:H,8,FALSE)))</f>
        <v>46280</v>
      </c>
      <c r="T19"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46337</v>
      </c>
      <c r="U19" s="88">
        <f>IF(PRIORIDAD_UNO[[#This Row],[Fin Calidad]]="","",IF(ISBLANK(VLOOKUP(PRIORIDAD_UNO[[#This Row],[Nombre del requerimiento]],'Cálculos Manual'!A:L,12,FALSE)), WORKDAY(PRIORIDAD_UNO[[#This Row],[Fin Calidad]],5,FERIADOS[Fecha]), VLOOKUP(PRIORIDAD_UNO[[#This Row],[Nombre del requerimiento]],'Cálculos Manual'!A:L,12,FALSE)))</f>
        <v>46344</v>
      </c>
      <c r="V19"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46351</v>
      </c>
      <c r="W19" s="87">
        <f>IFERROR(PRIORIDAD_UNO[[#This Row],[Fin Producción]]-PRIORIDAD_UNO[[#This Row],[Comienzo Desarrollo]],"")</f>
        <v>177</v>
      </c>
      <c r="X19" s="132" t="str">
        <f>IF(ISBLANK(PRIORIDAD_UNO[[#This Row],[Comienzo Desarrollo]]),"Sin Fecha","Con Fecha")</f>
        <v>Con Fecha</v>
      </c>
      <c r="Y19" s="129" t="str">
        <f>IF(PRIORIDAD_UNO[[#This Row],[Esfuerzo Estimado Desarrollo]]="No definido","Sin esfuerzo","Con esfuerzo")</f>
        <v>Con esfuerzo</v>
      </c>
      <c r="Z19" s="133" t="str">
        <f ca="1">IF(ISBLANK(PRIORIDAD_UNO[[#This Row],[Comienzo Desarrollo]]),"🔵 Sin Fecha",
IF(PRIORIDAD_UNO[[#This Row],[Comienzo Desarrollo]]&lt;TODAY(),"🔴 Vencido",
IF(PRIORIDAD_UNO[[#This Row],[Comienzo Desarrollo]]=TODAY(),"🟡 Vence hoy",
IF((PRIORIDAD_UNO[[#This Row],[Comienzo Desarrollo]]-TODAY())&lt;=5,"🟠 Por vencer",
"🟢 A tiempo"))))</f>
        <v>🔴 Vencido</v>
      </c>
      <c r="AA19" s="239" t="str">
        <f>IF(PRIORIDAD_UNO[[#This Row],[Comienzo Producción]]="","Por Definir",_xlfn.CONCAT(YEAR(PRIORIDAD_UNO[[#This Row],[Comienzo Producción]])," - ", MONTH(PRIORIDAD_UNO[[#This Row],[Comienzo Producción]])))</f>
        <v>2026 - 11</v>
      </c>
      <c r="AB19" s="101">
        <v>3241</v>
      </c>
      <c r="AC19" s="154"/>
    </row>
    <row r="20" spans="1:29" s="29" customFormat="1" ht="33.75" customHeight="1">
      <c r="A20" s="125" t="s">
        <v>177</v>
      </c>
      <c r="B20" s="126">
        <v>1</v>
      </c>
      <c r="C20" s="126">
        <v>17</v>
      </c>
      <c r="D20" s="126" t="s">
        <v>162</v>
      </c>
      <c r="E20"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20" s="126" t="s">
        <v>31</v>
      </c>
      <c r="G20" s="126" t="s">
        <v>32</v>
      </c>
      <c r="H20" s="126" t="s">
        <v>33</v>
      </c>
      <c r="I20" s="125" t="s">
        <v>48</v>
      </c>
      <c r="J20" s="155" t="s">
        <v>35</v>
      </c>
      <c r="K20" s="126" t="s">
        <v>54</v>
      </c>
      <c r="L20" s="126" t="s">
        <v>37</v>
      </c>
      <c r="M20" s="126" t="s">
        <v>38</v>
      </c>
      <c r="N20" s="126" t="s">
        <v>122</v>
      </c>
      <c r="O20" s="126" t="s">
        <v>40</v>
      </c>
      <c r="P20" s="125" t="s">
        <v>105</v>
      </c>
      <c r="Q20" s="51">
        <v>46238</v>
      </c>
      <c r="R20"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46332</v>
      </c>
      <c r="S20" s="88">
        <f>IF(PRIORIDAD_UNO[[#This Row],[Fin Desarrollo]]="","",IF(ISBLANK(VLOOKUP(PRIORIDAD_UNO[[#This Row],[Nombre del requerimiento]],'Cálculos Manual'!A:H,8,FALSE)),WORKDAY(PRIORIDAD_UNO[[#This Row],[Fin Desarrollo]],5,FERIADOS[Fecha]), VLOOKUP(PRIORIDAD_UNO[[#This Row],[Nombre del requerimiento]],'Cálculos Manual'!A:H,8,FALSE)))</f>
        <v>46339</v>
      </c>
      <c r="T20"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46401</v>
      </c>
      <c r="U20" s="88">
        <f>IF(PRIORIDAD_UNO[[#This Row],[Fin Calidad]]="","",IF(ISBLANK(VLOOKUP(PRIORIDAD_UNO[[#This Row],[Nombre del requerimiento]],'Cálculos Manual'!A:L,12,FALSE)), WORKDAY(PRIORIDAD_UNO[[#This Row],[Fin Calidad]],5,FERIADOS[Fecha]), VLOOKUP(PRIORIDAD_UNO[[#This Row],[Nombre del requerimiento]],'Cálculos Manual'!A:L,12,FALSE)))</f>
        <v>46408</v>
      </c>
      <c r="V20"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46415</v>
      </c>
      <c r="W20" s="87">
        <f>IFERROR(PRIORIDAD_UNO[[#This Row],[Fin Producción]]-PRIORIDAD_UNO[[#This Row],[Comienzo Desarrollo]],"")</f>
        <v>177</v>
      </c>
      <c r="X20" s="132" t="str">
        <f>IF(ISBLANK(PRIORIDAD_UNO[[#This Row],[Comienzo Desarrollo]]),"Sin Fecha","Con Fecha")</f>
        <v>Con Fecha</v>
      </c>
      <c r="Y20" s="129" t="str">
        <f>IF(PRIORIDAD_UNO[[#This Row],[Esfuerzo Estimado Desarrollo]]="No definido","Sin esfuerzo","Con esfuerzo")</f>
        <v>Con esfuerzo</v>
      </c>
      <c r="Z20"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20" s="239" t="str">
        <f>IF(PRIORIDAD_UNO[[#This Row],[Comienzo Producción]]="","Por Definir",_xlfn.CONCAT(YEAR(PRIORIDAD_UNO[[#This Row],[Comienzo Producción]])," - ", MONTH(PRIORIDAD_UNO[[#This Row],[Comienzo Producción]])))</f>
        <v>2027 - 1</v>
      </c>
      <c r="AB20" s="101">
        <v>3349</v>
      </c>
      <c r="AC20" s="154"/>
    </row>
    <row r="21" spans="1:29" s="29" customFormat="1" ht="33.75" customHeight="1">
      <c r="A21" s="213" t="s">
        <v>178</v>
      </c>
      <c r="B21" s="155">
        <v>1</v>
      </c>
      <c r="C21" s="155">
        <v>2</v>
      </c>
      <c r="D21" s="155" t="s">
        <v>29</v>
      </c>
      <c r="E21"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21" s="35" t="s">
        <v>69</v>
      </c>
      <c r="G21" s="35" t="s">
        <v>69</v>
      </c>
      <c r="H21" s="35" t="s">
        <v>69</v>
      </c>
      <c r="I21" s="36" t="s">
        <v>179</v>
      </c>
      <c r="J21" s="126" t="s">
        <v>35</v>
      </c>
      <c r="K21" s="155" t="s">
        <v>54</v>
      </c>
      <c r="L21" s="155" t="s">
        <v>37</v>
      </c>
      <c r="M21" s="155" t="s">
        <v>38</v>
      </c>
      <c r="N21" s="155" t="s">
        <v>175</v>
      </c>
      <c r="O21" s="130" t="s">
        <v>167</v>
      </c>
      <c r="P21" s="32"/>
      <c r="Q21" s="50">
        <v>46266</v>
      </c>
      <c r="R21"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46359</v>
      </c>
      <c r="S21" s="88">
        <f>IF(PRIORIDAD_UNO[[#This Row],[Fin Desarrollo]]="","",IF(ISBLANK(VLOOKUP(PRIORIDAD_UNO[[#This Row],[Nombre del requerimiento]],'Cálculos Manual'!A:H,8,FALSE)),WORKDAY(PRIORIDAD_UNO[[#This Row],[Fin Desarrollo]],5,FERIADOS[Fecha]), VLOOKUP(PRIORIDAD_UNO[[#This Row],[Nombre del requerimiento]],'Cálculos Manual'!A:H,8,FALSE)))</f>
        <v>46370</v>
      </c>
      <c r="T21"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46428</v>
      </c>
      <c r="U21" s="88">
        <f>IF(PRIORIDAD_UNO[[#This Row],[Fin Calidad]]="","",IF(ISBLANK(VLOOKUP(PRIORIDAD_UNO[[#This Row],[Nombre del requerimiento]],'Cálculos Manual'!A:L,12,FALSE)), WORKDAY(PRIORIDAD_UNO[[#This Row],[Fin Calidad]],5,FERIADOS[Fecha]), VLOOKUP(PRIORIDAD_UNO[[#This Row],[Nombre del requerimiento]],'Cálculos Manual'!A:L,12,FALSE)))</f>
        <v>46435</v>
      </c>
      <c r="V21"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46442</v>
      </c>
      <c r="W21" s="87">
        <f>IFERROR(PRIORIDAD_UNO[[#This Row],[Fin Producción]]-PRIORIDAD_UNO[[#This Row],[Comienzo Desarrollo]],"")</f>
        <v>176</v>
      </c>
      <c r="X21" s="132" t="str">
        <f>IF(ISBLANK(PRIORIDAD_UNO[[#This Row],[Comienzo Desarrollo]]),"Sin Fecha","Con Fecha")</f>
        <v>Con Fecha</v>
      </c>
      <c r="Y21" s="129" t="str">
        <f>IF(PRIORIDAD_UNO[[#This Row],[Esfuerzo Estimado Desarrollo]]="No definido","Sin esfuerzo","Con esfuerzo")</f>
        <v>Con esfuerzo</v>
      </c>
      <c r="Z21"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21" s="239" t="str">
        <f>IF(PRIORIDAD_UNO[[#This Row],[Comienzo Producción]]="","Por Definir",_xlfn.CONCAT(YEAR(PRIORIDAD_UNO[[#This Row],[Comienzo Producción]])," - ", MONTH(PRIORIDAD_UNO[[#This Row],[Comienzo Producción]])))</f>
        <v>2027 - 2</v>
      </c>
      <c r="AB21" s="101" t="s">
        <v>116</v>
      </c>
      <c r="AC21" s="154"/>
    </row>
    <row r="22" spans="1:29" s="29" customFormat="1" ht="33.75" customHeight="1">
      <c r="A22" s="125" t="s">
        <v>180</v>
      </c>
      <c r="B22" s="126">
        <v>1</v>
      </c>
      <c r="C22" s="126" t="s">
        <v>52</v>
      </c>
      <c r="D22" s="126" t="s">
        <v>29</v>
      </c>
      <c r="E22"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22" s="126" t="s">
        <v>31</v>
      </c>
      <c r="G22" s="126" t="s">
        <v>32</v>
      </c>
      <c r="H22" s="126" t="s">
        <v>33</v>
      </c>
      <c r="I22" s="125" t="s">
        <v>181</v>
      </c>
      <c r="J22" s="155" t="s">
        <v>35</v>
      </c>
      <c r="K22" s="126" t="s">
        <v>36</v>
      </c>
      <c r="L22" s="126" t="s">
        <v>37</v>
      </c>
      <c r="M22" s="126" t="s">
        <v>38</v>
      </c>
      <c r="N22" s="160" t="s">
        <v>50</v>
      </c>
      <c r="O22" s="126" t="s">
        <v>40</v>
      </c>
      <c r="P22" s="125" t="s">
        <v>182</v>
      </c>
      <c r="Q22" s="51">
        <v>46204</v>
      </c>
      <c r="R22"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46302</v>
      </c>
      <c r="S22" s="88">
        <f>IF(PRIORIDAD_UNO[[#This Row],[Fin Desarrollo]]="","",IF(ISBLANK(VLOOKUP(PRIORIDAD_UNO[[#This Row],[Nombre del requerimiento]],'Cálculos Manual'!A:H,8,FALSE)),WORKDAY(PRIORIDAD_UNO[[#This Row],[Fin Desarrollo]],5,FERIADOS[Fecha]), VLOOKUP(PRIORIDAD_UNO[[#This Row],[Nombre del requerimiento]],'Cálculos Manual'!A:H,8,FALSE)))</f>
        <v>46310</v>
      </c>
      <c r="T22"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46370</v>
      </c>
      <c r="U22" s="88">
        <f>IF(PRIORIDAD_UNO[[#This Row],[Fin Calidad]]="","",IF(ISBLANK(VLOOKUP(PRIORIDAD_UNO[[#This Row],[Nombre del requerimiento]],'Cálculos Manual'!A:L,12,FALSE)), WORKDAY(PRIORIDAD_UNO[[#This Row],[Fin Calidad]],5,FERIADOS[Fecha]), VLOOKUP(PRIORIDAD_UNO[[#This Row],[Nombre del requerimiento]],'Cálculos Manual'!A:L,12,FALSE)))</f>
        <v>46377</v>
      </c>
      <c r="V22"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46385</v>
      </c>
      <c r="W22" s="87">
        <f>IFERROR(PRIORIDAD_UNO[[#This Row],[Fin Producción]]-PRIORIDAD_UNO[[#This Row],[Comienzo Desarrollo]],"")</f>
        <v>181</v>
      </c>
      <c r="X22" s="132" t="str">
        <f>IF(ISBLANK(PRIORIDAD_UNO[[#This Row],[Comienzo Desarrollo]]),"Sin Fecha","Con Fecha")</f>
        <v>Con Fecha</v>
      </c>
      <c r="Y22" s="129" t="str">
        <f>IF(PRIORIDAD_UNO[[#This Row],[Esfuerzo Estimado Desarrollo]]="No definido","Sin esfuerzo","Con esfuerzo")</f>
        <v>Con esfuerzo</v>
      </c>
      <c r="Z22"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22" s="239" t="str">
        <f>IF(PRIORIDAD_UNO[[#This Row],[Comienzo Producción]]="","Por Definir",_xlfn.CONCAT(YEAR(PRIORIDAD_UNO[[#This Row],[Comienzo Producción]])," - ", MONTH(PRIORIDAD_UNO[[#This Row],[Comienzo Producción]])))</f>
        <v>2026 - 12</v>
      </c>
      <c r="AB22" s="101" t="s">
        <v>183</v>
      </c>
      <c r="AC22" s="154"/>
    </row>
    <row r="23" spans="1:29" s="29" customFormat="1" ht="33.75" customHeight="1">
      <c r="A23" s="125" t="s">
        <v>184</v>
      </c>
      <c r="B23" s="126">
        <v>1</v>
      </c>
      <c r="C23" s="126">
        <v>11</v>
      </c>
      <c r="D23" s="126" t="s">
        <v>29</v>
      </c>
      <c r="E23"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23" s="126" t="s">
        <v>31</v>
      </c>
      <c r="G23" s="126" t="s">
        <v>32</v>
      </c>
      <c r="H23" s="126" t="s">
        <v>141</v>
      </c>
      <c r="I23" s="125" t="s">
        <v>169</v>
      </c>
      <c r="J23" s="155" t="s">
        <v>35</v>
      </c>
      <c r="K23" s="126" t="s">
        <v>54</v>
      </c>
      <c r="L23" s="126" t="s">
        <v>37</v>
      </c>
      <c r="M23" s="126" t="s">
        <v>38</v>
      </c>
      <c r="N23" s="161" t="s">
        <v>115</v>
      </c>
      <c r="O23" s="126" t="s">
        <v>40</v>
      </c>
      <c r="P23" s="125"/>
      <c r="Q23" s="51">
        <v>46336</v>
      </c>
      <c r="R23"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46434</v>
      </c>
      <c r="S23" s="88">
        <f>IF(PRIORIDAD_UNO[[#This Row],[Fin Desarrollo]]="","",IF(ISBLANK(VLOOKUP(PRIORIDAD_UNO[[#This Row],[Nombre del requerimiento]],'Cálculos Manual'!A:H,8,FALSE)),WORKDAY(PRIORIDAD_UNO[[#This Row],[Fin Desarrollo]],5,FERIADOS[Fecha]), VLOOKUP(PRIORIDAD_UNO[[#This Row],[Nombre del requerimiento]],'Cálculos Manual'!A:H,8,FALSE)))</f>
        <v>46441</v>
      </c>
      <c r="T23"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46499</v>
      </c>
      <c r="U23" s="88">
        <f>IF(PRIORIDAD_UNO[[#This Row],[Fin Calidad]]="","",IF(ISBLANK(VLOOKUP(PRIORIDAD_UNO[[#This Row],[Nombre del requerimiento]],'Cálculos Manual'!A:L,12,FALSE)), WORKDAY(PRIORIDAD_UNO[[#This Row],[Fin Calidad]],5,FERIADOS[Fecha]), VLOOKUP(PRIORIDAD_UNO[[#This Row],[Nombre del requerimiento]],'Cálculos Manual'!A:L,12,FALSE)))</f>
        <v>46506</v>
      </c>
      <c r="V23"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46513</v>
      </c>
      <c r="W23" s="87">
        <f>IFERROR(PRIORIDAD_UNO[[#This Row],[Fin Producción]]-PRIORIDAD_UNO[[#This Row],[Comienzo Desarrollo]],"")</f>
        <v>177</v>
      </c>
      <c r="X23" s="132" t="str">
        <f>IF(ISBLANK(PRIORIDAD_UNO[[#This Row],[Comienzo Desarrollo]]),"Sin Fecha","Con Fecha")</f>
        <v>Con Fecha</v>
      </c>
      <c r="Y23" s="129" t="str">
        <f>IF(PRIORIDAD_UNO[[#This Row],[Esfuerzo Estimado Desarrollo]]="No definido","Sin esfuerzo","Con esfuerzo")</f>
        <v>Con esfuerzo</v>
      </c>
      <c r="Z23"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23" s="239" t="str">
        <f>IF(PRIORIDAD_UNO[[#This Row],[Comienzo Producción]]="","Por Definir",_xlfn.CONCAT(YEAR(PRIORIDAD_UNO[[#This Row],[Comienzo Producción]])," - ", MONTH(PRIORIDAD_UNO[[#This Row],[Comienzo Producción]])))</f>
        <v>2027 - 4</v>
      </c>
      <c r="AB23" s="101">
        <v>3196</v>
      </c>
      <c r="AC23" s="154"/>
    </row>
    <row r="24" spans="1:29" s="29" customFormat="1" ht="33.75" customHeight="1">
      <c r="A24" s="125" t="s">
        <v>185</v>
      </c>
      <c r="B24" s="126">
        <v>1</v>
      </c>
      <c r="C24" s="126">
        <v>11</v>
      </c>
      <c r="D24" s="126" t="s">
        <v>29</v>
      </c>
      <c r="E24"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24" s="126" t="s">
        <v>31</v>
      </c>
      <c r="G24" s="126" t="s">
        <v>32</v>
      </c>
      <c r="H24" s="126" t="s">
        <v>141</v>
      </c>
      <c r="I24" s="125" t="s">
        <v>169</v>
      </c>
      <c r="J24" s="126" t="s">
        <v>35</v>
      </c>
      <c r="K24" s="126" t="s">
        <v>63</v>
      </c>
      <c r="L24" s="126" t="s">
        <v>37</v>
      </c>
      <c r="M24" s="126" t="s">
        <v>38</v>
      </c>
      <c r="N24" s="161" t="s">
        <v>115</v>
      </c>
      <c r="O24" s="126" t="s">
        <v>40</v>
      </c>
      <c r="P24" s="125"/>
      <c r="Q24" s="51">
        <v>46329</v>
      </c>
      <c r="R24"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46427</v>
      </c>
      <c r="S24" s="88">
        <f>IF(PRIORIDAD_UNO[[#This Row],[Fin Desarrollo]]="","",IF(ISBLANK(VLOOKUP(PRIORIDAD_UNO[[#This Row],[Nombre del requerimiento]],'Cálculos Manual'!A:H,8,FALSE)),WORKDAY(PRIORIDAD_UNO[[#This Row],[Fin Desarrollo]],5,FERIADOS[Fecha]), VLOOKUP(PRIORIDAD_UNO[[#This Row],[Nombre del requerimiento]],'Cálculos Manual'!A:H,8,FALSE)))</f>
        <v>46434</v>
      </c>
      <c r="T24"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46492</v>
      </c>
      <c r="U24" s="88">
        <f>IF(PRIORIDAD_UNO[[#This Row],[Fin Calidad]]="","",IF(ISBLANK(VLOOKUP(PRIORIDAD_UNO[[#This Row],[Nombre del requerimiento]],'Cálculos Manual'!A:L,12,FALSE)), WORKDAY(PRIORIDAD_UNO[[#This Row],[Fin Calidad]],5,FERIADOS[Fecha]), VLOOKUP(PRIORIDAD_UNO[[#This Row],[Nombre del requerimiento]],'Cálculos Manual'!A:L,12,FALSE)))</f>
        <v>46499</v>
      </c>
      <c r="V24"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46506</v>
      </c>
      <c r="W24" s="87">
        <f>IFERROR(PRIORIDAD_UNO[[#This Row],[Fin Producción]]-PRIORIDAD_UNO[[#This Row],[Comienzo Desarrollo]],"")</f>
        <v>177</v>
      </c>
      <c r="X24" s="132" t="str">
        <f>IF(ISBLANK(PRIORIDAD_UNO[[#This Row],[Comienzo Desarrollo]]),"Sin Fecha","Con Fecha")</f>
        <v>Con Fecha</v>
      </c>
      <c r="Y24" s="129" t="str">
        <f>IF(PRIORIDAD_UNO[[#This Row],[Esfuerzo Estimado Desarrollo]]="No definido","Sin esfuerzo","Con esfuerzo")</f>
        <v>Con esfuerzo</v>
      </c>
      <c r="Z24"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24" s="239" t="str">
        <f>IF(PRIORIDAD_UNO[[#This Row],[Comienzo Producción]]="","Por Definir",_xlfn.CONCAT(YEAR(PRIORIDAD_UNO[[#This Row],[Comienzo Producción]])," - ", MONTH(PRIORIDAD_UNO[[#This Row],[Comienzo Producción]])))</f>
        <v>2027 - 4</v>
      </c>
      <c r="AB24" s="101">
        <v>3197</v>
      </c>
      <c r="AC24" s="154"/>
    </row>
    <row r="25" spans="1:29" s="29" customFormat="1" ht="33.75" customHeight="1">
      <c r="A25" s="213" t="s">
        <v>186</v>
      </c>
      <c r="B25" s="30">
        <v>1</v>
      </c>
      <c r="C25" s="30">
        <v>27</v>
      </c>
      <c r="D25" s="31" t="s">
        <v>187</v>
      </c>
      <c r="E25"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25" s="30" t="s">
        <v>66</v>
      </c>
      <c r="G25" s="30" t="s">
        <v>119</v>
      </c>
      <c r="H25" s="30" t="s">
        <v>135</v>
      </c>
      <c r="I25" s="32" t="s">
        <v>188</v>
      </c>
      <c r="J25" s="47" t="s">
        <v>35</v>
      </c>
      <c r="K25" s="31" t="s">
        <v>36</v>
      </c>
      <c r="L25" s="31" t="s">
        <v>37</v>
      </c>
      <c r="M25" s="31" t="s">
        <v>38</v>
      </c>
      <c r="N25" s="31" t="s">
        <v>189</v>
      </c>
      <c r="O25" s="31" t="s">
        <v>123</v>
      </c>
      <c r="P25" s="112" t="s">
        <v>190</v>
      </c>
      <c r="Q25" s="121">
        <v>46237</v>
      </c>
      <c r="R25" s="122">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46331</v>
      </c>
      <c r="S25" s="122">
        <f>IF(PRIORIDAD_UNO[[#This Row],[Fin Desarrollo]]="","",IF(ISBLANK(VLOOKUP(PRIORIDAD_UNO[[#This Row],[Nombre del requerimiento]],'Cálculos Manual'!A:H,8,FALSE)),WORKDAY(PRIORIDAD_UNO[[#This Row],[Fin Desarrollo]],5,FERIADOS[Fecha]), VLOOKUP(PRIORIDAD_UNO[[#This Row],[Nombre del requerimiento]],'Cálculos Manual'!A:H,8,FALSE)))</f>
        <v>46338</v>
      </c>
      <c r="T25" s="122">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46400</v>
      </c>
      <c r="U25" s="122">
        <f>IF(PRIORIDAD_UNO[[#This Row],[Fin Calidad]]="","",IF(ISBLANK(VLOOKUP(PRIORIDAD_UNO[[#This Row],[Nombre del requerimiento]],'Cálculos Manual'!A:L,12,FALSE)), WORKDAY(PRIORIDAD_UNO[[#This Row],[Fin Calidad]],5,FERIADOS[Fecha]), VLOOKUP(PRIORIDAD_UNO[[#This Row],[Nombre del requerimiento]],'Cálculos Manual'!A:L,12,FALSE)))</f>
        <v>46407</v>
      </c>
      <c r="V25" s="122">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46414</v>
      </c>
      <c r="W25" s="38">
        <f>IFERROR(PRIORIDAD_UNO[[#This Row],[Fin Producción]]-PRIORIDAD_UNO[[#This Row],[Comienzo Desarrollo]],"")</f>
        <v>177</v>
      </c>
      <c r="X25" s="132" t="str">
        <f>IF(ISBLANK(PRIORIDAD_UNO[[#This Row],[Comienzo Desarrollo]]),"Sin Fecha","Con Fecha")</f>
        <v>Con Fecha</v>
      </c>
      <c r="Y25" s="129" t="str">
        <f>IF(PRIORIDAD_UNO[[#This Row],[Esfuerzo Estimado Desarrollo]]="No definido","Sin esfuerzo","Con esfuerzo")</f>
        <v>Con esfuerzo</v>
      </c>
      <c r="Z25" s="162" t="str">
        <f ca="1">IF(ISBLANK(PRIORIDAD_UNO[[#This Row],[Comienzo Desarrollo]]),"🔵 Sin Fecha",
IF(PRIORIDAD_UNO[[#This Row],[Comienzo Desarrollo]]&lt;TODAY(),"🔴 Vencido",
IF(PRIORIDAD_UNO[[#This Row],[Comienzo Desarrollo]]=TODAY(),"🟡 Vence hoy",
IF((PRIORIDAD_UNO[[#This Row],[Comienzo Desarrollo]]-TODAY())&lt;=5,"🟠 Por vencer",
"🟢 A tiempo"))))</f>
        <v>🟢 A tiempo</v>
      </c>
      <c r="AA25" s="239" t="str">
        <f>IF(PRIORIDAD_UNO[[#This Row],[Comienzo Producción]]="","Por Definir",_xlfn.CONCAT(YEAR(PRIORIDAD_UNO[[#This Row],[Comienzo Producción]])," - ", MONTH(PRIORIDAD_UNO[[#This Row],[Comienzo Producción]])))</f>
        <v>2027 - 1</v>
      </c>
      <c r="AB25" s="101" t="s">
        <v>116</v>
      </c>
      <c r="AC25" s="154"/>
    </row>
    <row r="26" spans="1:29" s="29" customFormat="1" ht="33.75" customHeight="1">
      <c r="A26" s="212" t="s">
        <v>191</v>
      </c>
      <c r="B26" s="126">
        <v>1</v>
      </c>
      <c r="C26" s="126">
        <v>5</v>
      </c>
      <c r="D26" s="126" t="s">
        <v>29</v>
      </c>
      <c r="E26"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26" s="126" t="s">
        <v>31</v>
      </c>
      <c r="G26" s="126" t="s">
        <v>32</v>
      </c>
      <c r="H26" s="126" t="s">
        <v>141</v>
      </c>
      <c r="I26" s="125" t="s">
        <v>169</v>
      </c>
      <c r="J26" s="126" t="s">
        <v>35</v>
      </c>
      <c r="K26" s="126" t="s">
        <v>63</v>
      </c>
      <c r="L26" s="126" t="s">
        <v>37</v>
      </c>
      <c r="M26" s="126" t="s">
        <v>38</v>
      </c>
      <c r="N26" s="126" t="s">
        <v>192</v>
      </c>
      <c r="O26" s="126" t="s">
        <v>40</v>
      </c>
      <c r="P26" s="125"/>
      <c r="Q26" s="51">
        <v>46252</v>
      </c>
      <c r="R26"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46345</v>
      </c>
      <c r="S26" s="88">
        <f>IF(PRIORIDAD_UNO[[#This Row],[Fin Desarrollo]]="","",IF(ISBLANK(VLOOKUP(PRIORIDAD_UNO[[#This Row],[Nombre del requerimiento]],'Cálculos Manual'!A:H,8,FALSE)),WORKDAY(PRIORIDAD_UNO[[#This Row],[Fin Desarrollo]],5,FERIADOS[Fecha]), VLOOKUP(PRIORIDAD_UNO[[#This Row],[Nombre del requerimiento]],'Cálculos Manual'!A:H,8,FALSE)))</f>
        <v>46352</v>
      </c>
      <c r="T26"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46414</v>
      </c>
      <c r="U26" s="88">
        <f>IF(PRIORIDAD_UNO[[#This Row],[Fin Calidad]]="","",IF(ISBLANK(VLOOKUP(PRIORIDAD_UNO[[#This Row],[Nombre del requerimiento]],'Cálculos Manual'!A:L,12,FALSE)), WORKDAY(PRIORIDAD_UNO[[#This Row],[Fin Calidad]],5,FERIADOS[Fecha]), VLOOKUP(PRIORIDAD_UNO[[#This Row],[Nombre del requerimiento]],'Cálculos Manual'!A:L,12,FALSE)))</f>
        <v>46421</v>
      </c>
      <c r="V26"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46428</v>
      </c>
      <c r="W26" s="87">
        <f>IFERROR(PRIORIDAD_UNO[[#This Row],[Fin Producción]]-PRIORIDAD_UNO[[#This Row],[Comienzo Desarrollo]],"")</f>
        <v>176</v>
      </c>
      <c r="X26" s="132" t="str">
        <f>IF(ISBLANK(PRIORIDAD_UNO[[#This Row],[Comienzo Desarrollo]]),"Sin Fecha","Con Fecha")</f>
        <v>Con Fecha</v>
      </c>
      <c r="Y26" s="129" t="str">
        <f>IF(PRIORIDAD_UNO[[#This Row],[Esfuerzo Estimado Desarrollo]]="No definido","Sin esfuerzo","Con esfuerzo")</f>
        <v>Con esfuerzo</v>
      </c>
      <c r="Z26"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26" s="239" t="str">
        <f>IF(PRIORIDAD_UNO[[#This Row],[Comienzo Producción]]="","Por Definir",_xlfn.CONCAT(YEAR(PRIORIDAD_UNO[[#This Row],[Comienzo Producción]])," - ", MONTH(PRIORIDAD_UNO[[#This Row],[Comienzo Producción]])))</f>
        <v>2027 - 2</v>
      </c>
      <c r="AB26" s="101" t="s">
        <v>116</v>
      </c>
      <c r="AC26" s="154"/>
    </row>
    <row r="27" spans="1:29" s="29" customFormat="1" ht="33.75" customHeight="1">
      <c r="A27" s="112" t="s">
        <v>193</v>
      </c>
      <c r="B27" s="155">
        <v>1</v>
      </c>
      <c r="C27" s="155">
        <v>5</v>
      </c>
      <c r="D27" s="155" t="s">
        <v>29</v>
      </c>
      <c r="E27"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27" s="155" t="s">
        <v>31</v>
      </c>
      <c r="G27" s="155" t="s">
        <v>32</v>
      </c>
      <c r="H27" s="155" t="s">
        <v>141</v>
      </c>
      <c r="I27" s="159" t="s">
        <v>169</v>
      </c>
      <c r="J27" s="126" t="s">
        <v>35</v>
      </c>
      <c r="K27" s="155" t="s">
        <v>63</v>
      </c>
      <c r="L27" s="155" t="s">
        <v>37</v>
      </c>
      <c r="M27" s="155" t="s">
        <v>38</v>
      </c>
      <c r="N27" s="155" t="s">
        <v>50</v>
      </c>
      <c r="O27" s="155" t="s">
        <v>40</v>
      </c>
      <c r="P27" s="159" t="s">
        <v>105</v>
      </c>
      <c r="Q27" s="50">
        <v>46252</v>
      </c>
      <c r="R27"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46345</v>
      </c>
      <c r="S27" s="88">
        <f>IF(PRIORIDAD_UNO[[#This Row],[Fin Desarrollo]]="","",IF(ISBLANK(VLOOKUP(PRIORIDAD_UNO[[#This Row],[Nombre del requerimiento]],'Cálculos Manual'!A:H,8,FALSE)),WORKDAY(PRIORIDAD_UNO[[#This Row],[Fin Desarrollo]],5,FERIADOS[Fecha]), VLOOKUP(PRIORIDAD_UNO[[#This Row],[Nombre del requerimiento]],'Cálculos Manual'!A:H,8,FALSE)))</f>
        <v>46352</v>
      </c>
      <c r="T27"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46414</v>
      </c>
      <c r="U27" s="88">
        <f>IF(PRIORIDAD_UNO[[#This Row],[Fin Calidad]]="","",IF(ISBLANK(VLOOKUP(PRIORIDAD_UNO[[#This Row],[Nombre del requerimiento]],'Cálculos Manual'!A:L,12,FALSE)), WORKDAY(PRIORIDAD_UNO[[#This Row],[Fin Calidad]],5,FERIADOS[Fecha]), VLOOKUP(PRIORIDAD_UNO[[#This Row],[Nombre del requerimiento]],'Cálculos Manual'!A:L,12,FALSE)))</f>
        <v>46421</v>
      </c>
      <c r="V27"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46428</v>
      </c>
      <c r="W27" s="87">
        <f>IFERROR(PRIORIDAD_UNO[[#This Row],[Fin Producción]]-PRIORIDAD_UNO[[#This Row],[Comienzo Desarrollo]],"")</f>
        <v>176</v>
      </c>
      <c r="X27" s="132" t="str">
        <f>IF(ISBLANK(PRIORIDAD_UNO[[#This Row],[Comienzo Desarrollo]]),"Sin Fecha","Con Fecha")</f>
        <v>Con Fecha</v>
      </c>
      <c r="Y27" s="129" t="str">
        <f>IF(PRIORIDAD_UNO[[#This Row],[Esfuerzo Estimado Desarrollo]]="No definido","Sin esfuerzo","Con esfuerzo")</f>
        <v>Con esfuerzo</v>
      </c>
      <c r="Z27"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27" s="239" t="str">
        <f>IF(PRIORIDAD_UNO[[#This Row],[Comienzo Producción]]="","Por Definir",_xlfn.CONCAT(YEAR(PRIORIDAD_UNO[[#This Row],[Comienzo Producción]])," - ", MONTH(PRIORIDAD_UNO[[#This Row],[Comienzo Producción]])))</f>
        <v>2027 - 2</v>
      </c>
      <c r="AB27" s="101">
        <v>3333</v>
      </c>
      <c r="AC27" s="154"/>
    </row>
    <row r="28" spans="1:29" s="29" customFormat="1" ht="33.75" customHeight="1">
      <c r="A28" s="112" t="s">
        <v>194</v>
      </c>
      <c r="B28" s="155">
        <v>1</v>
      </c>
      <c r="C28" s="101">
        <v>1</v>
      </c>
      <c r="D28" s="101" t="s">
        <v>113</v>
      </c>
      <c r="E28"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28" s="47" t="s">
        <v>31</v>
      </c>
      <c r="G28" s="47" t="s">
        <v>32</v>
      </c>
      <c r="H28" s="101" t="s">
        <v>33</v>
      </c>
      <c r="I28" s="101" t="s">
        <v>195</v>
      </c>
      <c r="J28" s="101" t="s">
        <v>35</v>
      </c>
      <c r="K28" s="101" t="s">
        <v>54</v>
      </c>
      <c r="L28" s="101" t="s">
        <v>37</v>
      </c>
      <c r="M28" s="101" t="s">
        <v>55</v>
      </c>
      <c r="N28" s="155" t="s">
        <v>56</v>
      </c>
      <c r="O28" s="155" t="s">
        <v>40</v>
      </c>
      <c r="P28" s="152" t="s">
        <v>196</v>
      </c>
      <c r="Q28" s="129">
        <v>46181</v>
      </c>
      <c r="R28" s="127">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46224</v>
      </c>
      <c r="S28" s="127">
        <f>IF(PRIORIDAD_UNO[[#This Row],[Fin Desarrollo]]="","",IF(ISBLANK(VLOOKUP(PRIORIDAD_UNO[[#This Row],[Nombre del requerimiento]],'Cálculos Manual'!A:H,8,FALSE)),WORKDAY(PRIORIDAD_UNO[[#This Row],[Fin Desarrollo]],5,FERIADOS[Fecha]), VLOOKUP(PRIORIDAD_UNO[[#This Row],[Nombre del requerimiento]],'Cálculos Manual'!A:H,8,FALSE)))</f>
        <v>46234</v>
      </c>
      <c r="T28" s="127">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46279</v>
      </c>
      <c r="U28" s="127">
        <f>IF(PRIORIDAD_UNO[[#This Row],[Fin Calidad]]="","",IF(ISBLANK(VLOOKUP(PRIORIDAD_UNO[[#This Row],[Nombre del requerimiento]],'Cálculos Manual'!A:L,12,FALSE)), WORKDAY(PRIORIDAD_UNO[[#This Row],[Fin Calidad]],5,FERIADOS[Fecha]), VLOOKUP(PRIORIDAD_UNO[[#This Row],[Nombre del requerimiento]],'Cálculos Manual'!A:L,12,FALSE)))</f>
        <v>46286</v>
      </c>
      <c r="V28" s="127">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46293</v>
      </c>
      <c r="W28" s="128">
        <f>IFERROR(PRIORIDAD_UNO[[#This Row],[Fin Producción]]-PRIORIDAD_UNO[[#This Row],[Comienzo Desarrollo]],"")</f>
        <v>112</v>
      </c>
      <c r="X28" s="132" t="str">
        <f>IF(ISBLANK(PRIORIDAD_UNO[[#This Row],[Comienzo Desarrollo]]),"Sin Fecha","Con Fecha")</f>
        <v>Con Fecha</v>
      </c>
      <c r="Y28" s="129" t="str">
        <f>IF(PRIORIDAD_UNO[[#This Row],[Esfuerzo Estimado Desarrollo]]="No definido","Sin esfuerzo","Con esfuerzo")</f>
        <v>Con esfuerzo</v>
      </c>
      <c r="Z28" s="133" t="str">
        <f ca="1">IF(ISBLANK(PRIORIDAD_UNO[[#This Row],[Comienzo Desarrollo]]),"🔵 Sin Fecha",
IF(PRIORIDAD_UNO[[#This Row],[Comienzo Desarrollo]]&lt;TODAY(),"🔴 Vencido",
IF(PRIORIDAD_UNO[[#This Row],[Comienzo Desarrollo]]=TODAY(),"🟡 Vence hoy",
IF((PRIORIDAD_UNO[[#This Row],[Comienzo Desarrollo]]-TODAY())&lt;=5,"🟠 Por vencer",
"🟢 A tiempo"))))</f>
        <v>🔴 Vencido</v>
      </c>
      <c r="AA28" s="239" t="str">
        <f>IF(PRIORIDAD_UNO[[#This Row],[Comienzo Producción]]="","Por Definir",_xlfn.CONCAT(YEAR(PRIORIDAD_UNO[[#This Row],[Comienzo Producción]])," - ", MONTH(PRIORIDAD_UNO[[#This Row],[Comienzo Producción]])))</f>
        <v>2026 - 9</v>
      </c>
      <c r="AB28" s="101">
        <v>3355</v>
      </c>
      <c r="AC28" s="154"/>
    </row>
    <row r="29" spans="1:29" s="29" customFormat="1" ht="33.75" customHeight="1">
      <c r="A29" s="212" t="s">
        <v>197</v>
      </c>
      <c r="B29" s="126">
        <v>1</v>
      </c>
      <c r="C29" s="126" t="s">
        <v>52</v>
      </c>
      <c r="D29" s="126" t="s">
        <v>29</v>
      </c>
      <c r="E29"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29" s="126" t="s">
        <v>31</v>
      </c>
      <c r="G29" s="126" t="s">
        <v>32</v>
      </c>
      <c r="H29" s="126" t="s">
        <v>198</v>
      </c>
      <c r="I29" s="125" t="s">
        <v>199</v>
      </c>
      <c r="J29" s="126" t="s">
        <v>35</v>
      </c>
      <c r="K29" s="126" t="s">
        <v>36</v>
      </c>
      <c r="L29" s="126" t="s">
        <v>37</v>
      </c>
      <c r="M29" s="126" t="s">
        <v>38</v>
      </c>
      <c r="N29" s="161" t="s">
        <v>39</v>
      </c>
      <c r="O29" s="155" t="s">
        <v>40</v>
      </c>
      <c r="P29" s="125"/>
      <c r="Q29" s="51">
        <v>46237</v>
      </c>
      <c r="R29"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46331</v>
      </c>
      <c r="S29" s="88">
        <f>IF(PRIORIDAD_UNO[[#This Row],[Fin Desarrollo]]="","",IF(ISBLANK(VLOOKUP(PRIORIDAD_UNO[[#This Row],[Nombre del requerimiento]],'Cálculos Manual'!A:H,8,FALSE)),WORKDAY(PRIORIDAD_UNO[[#This Row],[Fin Desarrollo]],5,FERIADOS[Fecha]), VLOOKUP(PRIORIDAD_UNO[[#This Row],[Nombre del requerimiento]],'Cálculos Manual'!A:H,8,FALSE)))</f>
        <v>46338</v>
      </c>
      <c r="T29"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46400</v>
      </c>
      <c r="U29" s="88">
        <f>IF(PRIORIDAD_UNO[[#This Row],[Fin Calidad]]="","",IF(ISBLANK(VLOOKUP(PRIORIDAD_UNO[[#This Row],[Nombre del requerimiento]],'Cálculos Manual'!A:L,12,FALSE)), WORKDAY(PRIORIDAD_UNO[[#This Row],[Fin Calidad]],5,FERIADOS[Fecha]), VLOOKUP(PRIORIDAD_UNO[[#This Row],[Nombre del requerimiento]],'Cálculos Manual'!A:L,12,FALSE)))</f>
        <v>46407</v>
      </c>
      <c r="V29"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46414</v>
      </c>
      <c r="W29" s="87">
        <f>IFERROR(PRIORIDAD_UNO[[#This Row],[Fin Producción]]-PRIORIDAD_UNO[[#This Row],[Comienzo Desarrollo]],"")</f>
        <v>177</v>
      </c>
      <c r="X29" s="132" t="str">
        <f>IF(ISBLANK(PRIORIDAD_UNO[[#This Row],[Comienzo Desarrollo]]),"Sin Fecha","Con Fecha")</f>
        <v>Con Fecha</v>
      </c>
      <c r="Y29" s="129" t="str">
        <f>IF(PRIORIDAD_UNO[[#This Row],[Esfuerzo Estimado Desarrollo]]="No definido","Sin esfuerzo","Con esfuerzo")</f>
        <v>Con esfuerzo</v>
      </c>
      <c r="Z29"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29" s="239" t="str">
        <f>IF(PRIORIDAD_UNO[[#This Row],[Comienzo Producción]]="","Por Definir",_xlfn.CONCAT(YEAR(PRIORIDAD_UNO[[#This Row],[Comienzo Producción]])," - ", MONTH(PRIORIDAD_UNO[[#This Row],[Comienzo Producción]])))</f>
        <v>2027 - 1</v>
      </c>
      <c r="AB29" s="101" t="s">
        <v>200</v>
      </c>
      <c r="AC29" s="154"/>
    </row>
    <row r="30" spans="1:29" s="29" customFormat="1" ht="33.75" customHeight="1">
      <c r="A30" s="212" t="s">
        <v>201</v>
      </c>
      <c r="B30" s="126">
        <v>1</v>
      </c>
      <c r="C30" s="126">
        <v>3</v>
      </c>
      <c r="D30" s="126"/>
      <c r="E30"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30" s="126" t="s">
        <v>31</v>
      </c>
      <c r="G30" s="126" t="s">
        <v>32</v>
      </c>
      <c r="H30" s="126" t="s">
        <v>198</v>
      </c>
      <c r="I30" s="125" t="s">
        <v>199</v>
      </c>
      <c r="J30" s="155" t="s">
        <v>35</v>
      </c>
      <c r="K30" s="126" t="s">
        <v>36</v>
      </c>
      <c r="L30" s="126" t="s">
        <v>80</v>
      </c>
      <c r="M30" s="126" t="s">
        <v>38</v>
      </c>
      <c r="N30" s="126" t="s">
        <v>202</v>
      </c>
      <c r="O30" s="126" t="s">
        <v>40</v>
      </c>
      <c r="P30" s="125"/>
      <c r="Q30" s="51"/>
      <c r="R30" s="88"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30" s="88" t="str">
        <f>IF(PRIORIDAD_UNO[[#This Row],[Fin Desarrollo]]="","",IF(ISBLANK(VLOOKUP(PRIORIDAD_UNO[[#This Row],[Nombre del requerimiento]],'Cálculos Manual'!A:H,8,FALSE)),WORKDAY(PRIORIDAD_UNO[[#This Row],[Fin Desarrollo]],5,FERIADOS[Fecha]), VLOOKUP(PRIORIDAD_UNO[[#This Row],[Nombre del requerimiento]],'Cálculos Manual'!A:H,8,FALSE)))</f>
        <v/>
      </c>
      <c r="T30" s="88"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30" s="88" t="str">
        <f>IF(PRIORIDAD_UNO[[#This Row],[Fin Calidad]]="","",IF(ISBLANK(VLOOKUP(PRIORIDAD_UNO[[#This Row],[Nombre del requerimiento]],'Cálculos Manual'!A:L,12,FALSE)), WORKDAY(PRIORIDAD_UNO[[#This Row],[Fin Calidad]],5,FERIADOS[Fecha]), VLOOKUP(PRIORIDAD_UNO[[#This Row],[Nombre del requerimiento]],'Cálculos Manual'!A:L,12,FALSE)))</f>
        <v/>
      </c>
      <c r="V30" s="88"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30" s="87" t="str">
        <f>IFERROR(PRIORIDAD_UNO[[#This Row],[Fin Producción]]-PRIORIDAD_UNO[[#This Row],[Comienzo Desarrollo]],"")</f>
        <v/>
      </c>
      <c r="X30" s="132" t="str">
        <f>IF(ISBLANK(PRIORIDAD_UNO[[#This Row],[Comienzo Desarrollo]]),"Sin Fecha","Con Fecha")</f>
        <v>Sin Fecha</v>
      </c>
      <c r="Y30" s="129" t="str">
        <f>IF(PRIORIDAD_UNO[[#This Row],[Esfuerzo Estimado Desarrollo]]="No definido","Sin esfuerzo","Con esfuerzo")</f>
        <v>Con esfuerzo</v>
      </c>
      <c r="Z30" s="133"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30" s="239" t="str">
        <f>IF(PRIORIDAD_UNO[[#This Row],[Comienzo Producción]]="","Por Definir",_xlfn.CONCAT(YEAR(PRIORIDAD_UNO[[#This Row],[Comienzo Producción]])," - ", MONTH(PRIORIDAD_UNO[[#This Row],[Comienzo Producción]])))</f>
        <v>Por Definir</v>
      </c>
      <c r="AB30" s="101" t="s">
        <v>116</v>
      </c>
      <c r="AC30" s="154"/>
    </row>
    <row r="31" spans="1:29" s="29" customFormat="1" ht="33.75" customHeight="1">
      <c r="A31" s="213" t="s">
        <v>203</v>
      </c>
      <c r="B31" s="126">
        <v>1</v>
      </c>
      <c r="C31" s="126">
        <v>4</v>
      </c>
      <c r="D31" s="126" t="s">
        <v>29</v>
      </c>
      <c r="E31"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31" s="126" t="s">
        <v>68</v>
      </c>
      <c r="G31" s="126" t="s">
        <v>129</v>
      </c>
      <c r="H31" s="126" t="s">
        <v>204</v>
      </c>
      <c r="I31" s="125" t="s">
        <v>205</v>
      </c>
      <c r="J31" s="155" t="s">
        <v>35</v>
      </c>
      <c r="K31" s="126" t="s">
        <v>36</v>
      </c>
      <c r="L31" s="126" t="s">
        <v>79</v>
      </c>
      <c r="M31" s="126" t="s">
        <v>55</v>
      </c>
      <c r="N31" s="126" t="s">
        <v>206</v>
      </c>
      <c r="O31" s="155" t="s">
        <v>132</v>
      </c>
      <c r="P31" s="125" t="s">
        <v>207</v>
      </c>
      <c r="Q31" s="51"/>
      <c r="R31" s="88"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31" s="88" t="str">
        <f>IF(PRIORIDAD_UNO[[#This Row],[Fin Desarrollo]]="","",IF(ISBLANK(VLOOKUP(PRIORIDAD_UNO[[#This Row],[Nombre del requerimiento]],'Cálculos Manual'!A:H,8,FALSE)),WORKDAY(PRIORIDAD_UNO[[#This Row],[Fin Desarrollo]],5,FERIADOS[Fecha]), VLOOKUP(PRIORIDAD_UNO[[#This Row],[Nombre del requerimiento]],'Cálculos Manual'!A:H,8,FALSE)))</f>
        <v/>
      </c>
      <c r="T31" s="88"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31" s="88" t="str">
        <f>IF(PRIORIDAD_UNO[[#This Row],[Fin Calidad]]="","",IF(ISBLANK(VLOOKUP(PRIORIDAD_UNO[[#This Row],[Nombre del requerimiento]],'Cálculos Manual'!A:L,12,FALSE)), WORKDAY(PRIORIDAD_UNO[[#This Row],[Fin Calidad]],5,FERIADOS[Fecha]), VLOOKUP(PRIORIDAD_UNO[[#This Row],[Nombre del requerimiento]],'Cálculos Manual'!A:L,12,FALSE)))</f>
        <v/>
      </c>
      <c r="V31" s="88"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31" s="87" t="str">
        <f>IFERROR(PRIORIDAD_UNO[[#This Row],[Fin Producción]]-PRIORIDAD_UNO[[#This Row],[Comienzo Desarrollo]],"")</f>
        <v/>
      </c>
      <c r="X31" s="132" t="str">
        <f>IF(ISBLANK(PRIORIDAD_UNO[[#This Row],[Comienzo Desarrollo]]),"Sin Fecha","Con Fecha")</f>
        <v>Sin Fecha</v>
      </c>
      <c r="Y31" s="129" t="str">
        <f>IF(PRIORIDAD_UNO[[#This Row],[Esfuerzo Estimado Desarrollo]]="No definido","Sin esfuerzo","Con esfuerzo")</f>
        <v>Con esfuerzo</v>
      </c>
      <c r="Z31" s="133"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31" s="239" t="str">
        <f>IF(PRIORIDAD_UNO[[#This Row],[Comienzo Producción]]="","Por Definir",_xlfn.CONCAT(YEAR(PRIORIDAD_UNO[[#This Row],[Comienzo Producción]])," - ", MONTH(PRIORIDAD_UNO[[#This Row],[Comienzo Producción]])))</f>
        <v>Por Definir</v>
      </c>
      <c r="AB31" s="101" t="s">
        <v>116</v>
      </c>
      <c r="AC31" s="154"/>
    </row>
    <row r="32" spans="1:29" s="29" customFormat="1" ht="33.75" customHeight="1">
      <c r="A32" s="213" t="s">
        <v>208</v>
      </c>
      <c r="B32" s="30">
        <v>1</v>
      </c>
      <c r="C32" s="30">
        <v>22</v>
      </c>
      <c r="D32" s="31" t="s">
        <v>209</v>
      </c>
      <c r="E32"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32" s="30" t="s">
        <v>66</v>
      </c>
      <c r="G32" s="30" t="s">
        <v>119</v>
      </c>
      <c r="H32" s="30" t="s">
        <v>120</v>
      </c>
      <c r="I32" s="32" t="s">
        <v>210</v>
      </c>
      <c r="J32" s="47" t="s">
        <v>35</v>
      </c>
      <c r="K32" s="31" t="s">
        <v>36</v>
      </c>
      <c r="L32" s="31" t="s">
        <v>37</v>
      </c>
      <c r="M32" s="31" t="s">
        <v>55</v>
      </c>
      <c r="N32" s="31" t="s">
        <v>145</v>
      </c>
      <c r="O32" s="31" t="s">
        <v>123</v>
      </c>
      <c r="P32" s="112" t="s">
        <v>211</v>
      </c>
      <c r="Q32" s="121">
        <v>46174</v>
      </c>
      <c r="R32"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46217</v>
      </c>
      <c r="S32" s="88">
        <f>IF(PRIORIDAD_UNO[[#This Row],[Fin Desarrollo]]="","",IF(ISBLANK(VLOOKUP(PRIORIDAD_UNO[[#This Row],[Nombre del requerimiento]],'Cálculos Manual'!A:H,8,FALSE)),WORKDAY(PRIORIDAD_UNO[[#This Row],[Fin Desarrollo]],5,FERIADOS[Fecha]), VLOOKUP(PRIORIDAD_UNO[[#This Row],[Nombre del requerimiento]],'Cálculos Manual'!A:H,8,FALSE)))</f>
        <v>46224</v>
      </c>
      <c r="T32"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46272</v>
      </c>
      <c r="U32" s="88">
        <f>IF(PRIORIDAD_UNO[[#This Row],[Fin Calidad]]="","",IF(ISBLANK(VLOOKUP(PRIORIDAD_UNO[[#This Row],[Nombre del requerimiento]],'Cálculos Manual'!A:L,12,FALSE)), WORKDAY(PRIORIDAD_UNO[[#This Row],[Fin Calidad]],5,FERIADOS[Fecha]), VLOOKUP(PRIORIDAD_UNO[[#This Row],[Nombre del requerimiento]],'Cálculos Manual'!A:L,12,FALSE)))</f>
        <v>46279</v>
      </c>
      <c r="V32"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46286</v>
      </c>
      <c r="W32" s="87">
        <f>IFERROR(PRIORIDAD_UNO[[#This Row],[Fin Producción]]-PRIORIDAD_UNO[[#This Row],[Comienzo Desarrollo]],"")</f>
        <v>112</v>
      </c>
      <c r="X32" s="132" t="str">
        <f>IF(ISBLANK(PRIORIDAD_UNO[[#This Row],[Comienzo Desarrollo]]),"Sin Fecha","Con Fecha")</f>
        <v>Con Fecha</v>
      </c>
      <c r="Y32" s="129" t="str">
        <f>IF(PRIORIDAD_UNO[[#This Row],[Esfuerzo Estimado Desarrollo]]="No definido","Sin esfuerzo","Con esfuerzo")</f>
        <v>Con esfuerzo</v>
      </c>
      <c r="Z32" s="133" t="str">
        <f ca="1">IF(ISBLANK(PRIORIDAD_UNO[[#This Row],[Comienzo Desarrollo]]),"🔵 Sin Fecha",
IF(PRIORIDAD_UNO[[#This Row],[Comienzo Desarrollo]]&lt;TODAY(),"🔴 Vencido",
IF(PRIORIDAD_UNO[[#This Row],[Comienzo Desarrollo]]=TODAY(),"🟡 Vence hoy",
IF((PRIORIDAD_UNO[[#This Row],[Comienzo Desarrollo]]-TODAY())&lt;=5,"🟠 Por vencer",
"🟢 A tiempo"))))</f>
        <v>🔴 Vencido</v>
      </c>
      <c r="AA32" s="239" t="str">
        <f>IF(PRIORIDAD_UNO[[#This Row],[Comienzo Producción]]="","Por Definir",_xlfn.CONCAT(YEAR(PRIORIDAD_UNO[[#This Row],[Comienzo Producción]])," - ", MONTH(PRIORIDAD_UNO[[#This Row],[Comienzo Producción]])))</f>
        <v>2026 - 9</v>
      </c>
      <c r="AB32" s="101" t="s">
        <v>116</v>
      </c>
      <c r="AC32" s="154"/>
    </row>
    <row r="33" spans="1:29" s="29" customFormat="1" ht="33.75" customHeight="1">
      <c r="A33" s="212" t="s">
        <v>212</v>
      </c>
      <c r="B33" s="155">
        <v>1</v>
      </c>
      <c r="C33" s="155">
        <v>3</v>
      </c>
      <c r="D33" s="155" t="s">
        <v>29</v>
      </c>
      <c r="E33"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33" s="155" t="s">
        <v>31</v>
      </c>
      <c r="G33" s="155" t="s">
        <v>32</v>
      </c>
      <c r="H33" s="155" t="s">
        <v>141</v>
      </c>
      <c r="I33" s="159" t="s">
        <v>142</v>
      </c>
      <c r="J33" s="126" t="s">
        <v>35</v>
      </c>
      <c r="K33" s="155" t="s">
        <v>62</v>
      </c>
      <c r="L33" s="155" t="s">
        <v>37</v>
      </c>
      <c r="M33" s="155" t="s">
        <v>38</v>
      </c>
      <c r="N33" s="155" t="s">
        <v>50</v>
      </c>
      <c r="O33" s="155" t="s">
        <v>40</v>
      </c>
      <c r="P33" s="159" t="s">
        <v>105</v>
      </c>
      <c r="Q33" s="50">
        <v>46266</v>
      </c>
      <c r="R33"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46359</v>
      </c>
      <c r="S33" s="88">
        <f>IF(PRIORIDAD_UNO[[#This Row],[Fin Desarrollo]]="","",IF(ISBLANK(VLOOKUP(PRIORIDAD_UNO[[#This Row],[Nombre del requerimiento]],'Cálculos Manual'!A:H,8,FALSE)),WORKDAY(PRIORIDAD_UNO[[#This Row],[Fin Desarrollo]],5,FERIADOS[Fecha]), VLOOKUP(PRIORIDAD_UNO[[#This Row],[Nombre del requerimiento]],'Cálculos Manual'!A:H,8,FALSE)))</f>
        <v>46370</v>
      </c>
      <c r="T33"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46428</v>
      </c>
      <c r="U33" s="88">
        <f>IF(PRIORIDAD_UNO[[#This Row],[Fin Calidad]]="","",IF(ISBLANK(VLOOKUP(PRIORIDAD_UNO[[#This Row],[Nombre del requerimiento]],'Cálculos Manual'!A:L,12,FALSE)), WORKDAY(PRIORIDAD_UNO[[#This Row],[Fin Calidad]],5,FERIADOS[Fecha]), VLOOKUP(PRIORIDAD_UNO[[#This Row],[Nombre del requerimiento]],'Cálculos Manual'!A:L,12,FALSE)))</f>
        <v>46435</v>
      </c>
      <c r="V33"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46442</v>
      </c>
      <c r="W33" s="87">
        <f>IFERROR(PRIORIDAD_UNO[[#This Row],[Fin Producción]]-PRIORIDAD_UNO[[#This Row],[Comienzo Desarrollo]],"")</f>
        <v>176</v>
      </c>
      <c r="X33" s="132" t="str">
        <f>IF(ISBLANK(PRIORIDAD_UNO[[#This Row],[Comienzo Desarrollo]]),"Sin Fecha","Con Fecha")</f>
        <v>Con Fecha</v>
      </c>
      <c r="Y33" s="129" t="str">
        <f>IF(PRIORIDAD_UNO[[#This Row],[Esfuerzo Estimado Desarrollo]]="No definido","Sin esfuerzo","Con esfuerzo")</f>
        <v>Con esfuerzo</v>
      </c>
      <c r="Z33"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33" s="239" t="str">
        <f>IF(PRIORIDAD_UNO[[#This Row],[Comienzo Producción]]="","Por Definir",_xlfn.CONCAT(YEAR(PRIORIDAD_UNO[[#This Row],[Comienzo Producción]])," - ", MONTH(PRIORIDAD_UNO[[#This Row],[Comienzo Producción]])))</f>
        <v>2027 - 2</v>
      </c>
      <c r="AB33" s="101" t="s">
        <v>116</v>
      </c>
      <c r="AC33" s="154"/>
    </row>
    <row r="34" spans="1:29" s="29" customFormat="1" ht="33.75" customHeight="1">
      <c r="A34" s="213" t="s">
        <v>213</v>
      </c>
      <c r="B34" s="126">
        <v>1</v>
      </c>
      <c r="C34" s="126">
        <v>45</v>
      </c>
      <c r="D34" s="126" t="s">
        <v>113</v>
      </c>
      <c r="E34"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34" s="126" t="s">
        <v>66</v>
      </c>
      <c r="G34" s="126" t="s">
        <v>172</v>
      </c>
      <c r="H34" s="126" t="s">
        <v>173</v>
      </c>
      <c r="I34" s="125" t="s">
        <v>214</v>
      </c>
      <c r="J34" s="126" t="s">
        <v>35</v>
      </c>
      <c r="K34" s="126" t="s">
        <v>54</v>
      </c>
      <c r="L34" s="126" t="s">
        <v>37</v>
      </c>
      <c r="M34" s="126" t="s">
        <v>38</v>
      </c>
      <c r="N34" s="126" t="s">
        <v>175</v>
      </c>
      <c r="O34" s="126" t="s">
        <v>123</v>
      </c>
      <c r="P34" s="125" t="s">
        <v>215</v>
      </c>
      <c r="Q34" s="51">
        <v>46174</v>
      </c>
      <c r="R34"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46217</v>
      </c>
      <c r="S34" s="88">
        <f>IF(PRIORIDAD_UNO[[#This Row],[Fin Desarrollo]]="","",IF(ISBLANK(VLOOKUP(PRIORIDAD_UNO[[#This Row],[Nombre del requerimiento]],'Cálculos Manual'!A:H,8,FALSE)),WORKDAY(PRIORIDAD_UNO[[#This Row],[Fin Desarrollo]],5,FERIADOS[Fecha]), VLOOKUP(PRIORIDAD_UNO[[#This Row],[Nombre del requerimiento]],'Cálculos Manual'!A:H,8,FALSE)))</f>
        <v>46224</v>
      </c>
      <c r="T34"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46272</v>
      </c>
      <c r="U34" s="88">
        <f>IF(PRIORIDAD_UNO[[#This Row],[Fin Calidad]]="","",IF(ISBLANK(VLOOKUP(PRIORIDAD_UNO[[#This Row],[Nombre del requerimiento]],'Cálculos Manual'!A:L,12,FALSE)), WORKDAY(PRIORIDAD_UNO[[#This Row],[Fin Calidad]],5,FERIADOS[Fecha]), VLOOKUP(PRIORIDAD_UNO[[#This Row],[Nombre del requerimiento]],'Cálculos Manual'!A:L,12,FALSE)))</f>
        <v>46279</v>
      </c>
      <c r="V34"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46286</v>
      </c>
      <c r="W34" s="87">
        <f>IFERROR(PRIORIDAD_UNO[[#This Row],[Fin Producción]]-PRIORIDAD_UNO[[#This Row],[Comienzo Desarrollo]],"")</f>
        <v>112</v>
      </c>
      <c r="X34" s="132" t="str">
        <f>IF(ISBLANK(PRIORIDAD_UNO[[#This Row],[Comienzo Desarrollo]]),"Sin Fecha","Con Fecha")</f>
        <v>Con Fecha</v>
      </c>
      <c r="Y34" s="129" t="str">
        <f>IF(PRIORIDAD_UNO[[#This Row],[Esfuerzo Estimado Desarrollo]]="No definido","Sin esfuerzo","Con esfuerzo")</f>
        <v>Con esfuerzo</v>
      </c>
      <c r="Z34" s="133" t="str">
        <f ca="1">IF(ISBLANK(PRIORIDAD_UNO[[#This Row],[Comienzo Desarrollo]]),"🔵 Sin Fecha",
IF(PRIORIDAD_UNO[[#This Row],[Comienzo Desarrollo]]&lt;TODAY(),"🔴 Vencido",
IF(PRIORIDAD_UNO[[#This Row],[Comienzo Desarrollo]]=TODAY(),"🟡 Vence hoy",
IF((PRIORIDAD_UNO[[#This Row],[Comienzo Desarrollo]]-TODAY())&lt;=5,"🟠 Por vencer",
"🟢 A tiempo"))))</f>
        <v>🔴 Vencido</v>
      </c>
      <c r="AA34" s="239" t="str">
        <f>IF(PRIORIDAD_UNO[[#This Row],[Comienzo Producción]]="","Por Definir",_xlfn.CONCAT(YEAR(PRIORIDAD_UNO[[#This Row],[Comienzo Producción]])," - ", MONTH(PRIORIDAD_UNO[[#This Row],[Comienzo Producción]])))</f>
        <v>2026 - 9</v>
      </c>
      <c r="AB34" s="101" t="s">
        <v>116</v>
      </c>
      <c r="AC34" s="154"/>
    </row>
    <row r="35" spans="1:29" s="29" customFormat="1" ht="33.75" customHeight="1">
      <c r="A35" s="112" t="s">
        <v>216</v>
      </c>
      <c r="B35" s="126">
        <v>1</v>
      </c>
      <c r="C35" s="126">
        <v>8</v>
      </c>
      <c r="D35" s="126" t="s">
        <v>29</v>
      </c>
      <c r="E35"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35" s="126" t="s">
        <v>31</v>
      </c>
      <c r="G35" s="126" t="s">
        <v>32</v>
      </c>
      <c r="H35" s="126" t="s">
        <v>33</v>
      </c>
      <c r="I35" s="125" t="s">
        <v>34</v>
      </c>
      <c r="J35" s="126" t="s">
        <v>35</v>
      </c>
      <c r="K35" s="126" t="s">
        <v>49</v>
      </c>
      <c r="L35" s="126" t="s">
        <v>37</v>
      </c>
      <c r="M35" s="126" t="s">
        <v>38</v>
      </c>
      <c r="N35" s="126" t="s">
        <v>50</v>
      </c>
      <c r="O35" s="126" t="s">
        <v>40</v>
      </c>
      <c r="P35" s="125" t="s">
        <v>217</v>
      </c>
      <c r="Q35" s="51">
        <v>46294</v>
      </c>
      <c r="R35"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46393</v>
      </c>
      <c r="S35" s="88">
        <f>IF(PRIORIDAD_UNO[[#This Row],[Fin Desarrollo]]="","",IF(ISBLANK(VLOOKUP(PRIORIDAD_UNO[[#This Row],[Nombre del requerimiento]],'Cálculos Manual'!A:H,8,FALSE)),WORKDAY(PRIORIDAD_UNO[[#This Row],[Fin Desarrollo]],5,FERIADOS[Fecha]), VLOOKUP(PRIORIDAD_UNO[[#This Row],[Nombre del requerimiento]],'Cálculos Manual'!A:H,8,FALSE)))</f>
        <v>46400</v>
      </c>
      <c r="T35"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46456</v>
      </c>
      <c r="U35" s="88">
        <f>IF(PRIORIDAD_UNO[[#This Row],[Fin Calidad]]="","",IF(ISBLANK(VLOOKUP(PRIORIDAD_UNO[[#This Row],[Nombre del requerimiento]],'Cálculos Manual'!A:L,12,FALSE)), WORKDAY(PRIORIDAD_UNO[[#This Row],[Fin Calidad]],5,FERIADOS[Fecha]), VLOOKUP(PRIORIDAD_UNO[[#This Row],[Nombre del requerimiento]],'Cálculos Manual'!A:L,12,FALSE)))</f>
        <v>46463</v>
      </c>
      <c r="V35"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46470</v>
      </c>
      <c r="W35" s="87">
        <f>IFERROR(PRIORIDAD_UNO[[#This Row],[Fin Producción]]-PRIORIDAD_UNO[[#This Row],[Comienzo Desarrollo]],"")</f>
        <v>176</v>
      </c>
      <c r="X35" s="132" t="str">
        <f>IF(ISBLANK(PRIORIDAD_UNO[[#This Row],[Comienzo Desarrollo]]),"Sin Fecha","Con Fecha")</f>
        <v>Con Fecha</v>
      </c>
      <c r="Y35" s="129" t="str">
        <f>IF(PRIORIDAD_UNO[[#This Row],[Esfuerzo Estimado Desarrollo]]="No definido","Sin esfuerzo","Con esfuerzo")</f>
        <v>Con esfuerzo</v>
      </c>
      <c r="Z35"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35" s="239" t="str">
        <f>IF(PRIORIDAD_UNO[[#This Row],[Comienzo Producción]]="","Por Definir",_xlfn.CONCAT(YEAR(PRIORIDAD_UNO[[#This Row],[Comienzo Producción]])," - ", MONTH(PRIORIDAD_UNO[[#This Row],[Comienzo Producción]])))</f>
        <v>2027 - 3</v>
      </c>
      <c r="AB35" s="101">
        <v>3340</v>
      </c>
      <c r="AC35" s="154"/>
    </row>
    <row r="36" spans="1:29" s="29" customFormat="1" ht="33.75" customHeight="1">
      <c r="A36" s="212" t="s">
        <v>218</v>
      </c>
      <c r="B36" s="126">
        <v>1</v>
      </c>
      <c r="C36" s="126">
        <v>3</v>
      </c>
      <c r="D36" s="126" t="s">
        <v>29</v>
      </c>
      <c r="E36"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36" s="126" t="s">
        <v>31</v>
      </c>
      <c r="G36" s="126" t="s">
        <v>32</v>
      </c>
      <c r="H36" s="126" t="s">
        <v>141</v>
      </c>
      <c r="I36" s="125" t="s">
        <v>142</v>
      </c>
      <c r="J36" s="126" t="s">
        <v>35</v>
      </c>
      <c r="K36" s="126" t="s">
        <v>62</v>
      </c>
      <c r="L36" s="126" t="s">
        <v>37</v>
      </c>
      <c r="M36" s="126" t="s">
        <v>38</v>
      </c>
      <c r="N36" s="126" t="s">
        <v>50</v>
      </c>
      <c r="O36" s="126" t="s">
        <v>40</v>
      </c>
      <c r="P36" s="125" t="s">
        <v>105</v>
      </c>
      <c r="Q36" s="51">
        <v>46204</v>
      </c>
      <c r="R36"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46302</v>
      </c>
      <c r="S36" s="88">
        <f>IF(PRIORIDAD_UNO[[#This Row],[Fin Desarrollo]]="","",IF(ISBLANK(VLOOKUP(PRIORIDAD_UNO[[#This Row],[Nombre del requerimiento]],'Cálculos Manual'!A:H,8,FALSE)),WORKDAY(PRIORIDAD_UNO[[#This Row],[Fin Desarrollo]],5,FERIADOS[Fecha]), VLOOKUP(PRIORIDAD_UNO[[#This Row],[Nombre del requerimiento]],'Cálculos Manual'!A:H,8,FALSE)))</f>
        <v>46310</v>
      </c>
      <c r="T36"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46370</v>
      </c>
      <c r="U36" s="88">
        <f>IF(PRIORIDAD_UNO[[#This Row],[Fin Calidad]]="","",IF(ISBLANK(VLOOKUP(PRIORIDAD_UNO[[#This Row],[Nombre del requerimiento]],'Cálculos Manual'!A:L,12,FALSE)), WORKDAY(PRIORIDAD_UNO[[#This Row],[Fin Calidad]],5,FERIADOS[Fecha]), VLOOKUP(PRIORIDAD_UNO[[#This Row],[Nombre del requerimiento]],'Cálculos Manual'!A:L,12,FALSE)))</f>
        <v>46377</v>
      </c>
      <c r="V36"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46385</v>
      </c>
      <c r="W36" s="87">
        <f>IFERROR(PRIORIDAD_UNO[[#This Row],[Fin Producción]]-PRIORIDAD_UNO[[#This Row],[Comienzo Desarrollo]],"")</f>
        <v>181</v>
      </c>
      <c r="X36" s="132" t="str">
        <f>IF(ISBLANK(PRIORIDAD_UNO[[#This Row],[Comienzo Desarrollo]]),"Sin Fecha","Con Fecha")</f>
        <v>Con Fecha</v>
      </c>
      <c r="Y36" s="129" t="str">
        <f>IF(PRIORIDAD_UNO[[#This Row],[Esfuerzo Estimado Desarrollo]]="No definido","Sin esfuerzo","Con esfuerzo")</f>
        <v>Con esfuerzo</v>
      </c>
      <c r="Z36"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36" s="239" t="str">
        <f>IF(PRIORIDAD_UNO[[#This Row],[Comienzo Producción]]="","Por Definir",_xlfn.CONCAT(YEAR(PRIORIDAD_UNO[[#This Row],[Comienzo Producción]])," - ", MONTH(PRIORIDAD_UNO[[#This Row],[Comienzo Producción]])))</f>
        <v>2026 - 12</v>
      </c>
      <c r="AB36" s="101" t="s">
        <v>116</v>
      </c>
      <c r="AC36" s="154"/>
    </row>
    <row r="37" spans="1:29" s="29" customFormat="1" ht="33.75" customHeight="1">
      <c r="A37" s="214" t="s">
        <v>219</v>
      </c>
      <c r="B37" s="126">
        <v>1</v>
      </c>
      <c r="C37" s="126">
        <v>30</v>
      </c>
      <c r="D37" s="126" t="s">
        <v>29</v>
      </c>
      <c r="E37"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37" s="126" t="s">
        <v>66</v>
      </c>
      <c r="G37" s="126" t="s">
        <v>172</v>
      </c>
      <c r="H37" s="126" t="s">
        <v>173</v>
      </c>
      <c r="I37" s="125" t="s">
        <v>220</v>
      </c>
      <c r="J37" s="126" t="s">
        <v>35</v>
      </c>
      <c r="K37" s="126" t="s">
        <v>54</v>
      </c>
      <c r="L37" s="126" t="s">
        <v>37</v>
      </c>
      <c r="M37" s="126" t="s">
        <v>38</v>
      </c>
      <c r="N37" s="126" t="s">
        <v>166</v>
      </c>
      <c r="O37" s="126" t="s">
        <v>123</v>
      </c>
      <c r="P37" s="125"/>
      <c r="Q37" s="51">
        <v>46216</v>
      </c>
      <c r="R37"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46315</v>
      </c>
      <c r="S37" s="88">
        <f>IF(PRIORIDAD_UNO[[#This Row],[Fin Desarrollo]]="","",IF(ISBLANK(VLOOKUP(PRIORIDAD_UNO[[#This Row],[Nombre del requerimiento]],'Cálculos Manual'!A:H,8,FALSE)),WORKDAY(PRIORIDAD_UNO[[#This Row],[Fin Desarrollo]],5,FERIADOS[Fecha]), VLOOKUP(PRIORIDAD_UNO[[#This Row],[Nombre del requerimiento]],'Cálculos Manual'!A:H,8,FALSE)))</f>
        <v>46322</v>
      </c>
      <c r="T37"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46380</v>
      </c>
      <c r="U37" s="88">
        <f>IF(PRIORIDAD_UNO[[#This Row],[Fin Calidad]]="","",IF(ISBLANK(VLOOKUP(PRIORIDAD_UNO[[#This Row],[Nombre del requerimiento]],'Cálculos Manual'!A:L,12,FALSE)), WORKDAY(PRIORIDAD_UNO[[#This Row],[Fin Calidad]],5,FERIADOS[Fecha]), VLOOKUP(PRIORIDAD_UNO[[#This Row],[Nombre del requerimiento]],'Cálculos Manual'!A:L,12,FALSE)))</f>
        <v>46391</v>
      </c>
      <c r="V37"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46398</v>
      </c>
      <c r="W37" s="87">
        <f>IFERROR(PRIORIDAD_UNO[[#This Row],[Fin Producción]]-PRIORIDAD_UNO[[#This Row],[Comienzo Desarrollo]],"")</f>
        <v>182</v>
      </c>
      <c r="X37" s="132" t="str">
        <f>IF(ISBLANK(PRIORIDAD_UNO[[#This Row],[Comienzo Desarrollo]]),"Sin Fecha","Con Fecha")</f>
        <v>Con Fecha</v>
      </c>
      <c r="Y37" s="129" t="str">
        <f>IF(PRIORIDAD_UNO[[#This Row],[Esfuerzo Estimado Desarrollo]]="No definido","Sin esfuerzo","Con esfuerzo")</f>
        <v>Con esfuerzo</v>
      </c>
      <c r="Z37"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37" s="240" t="str">
        <f>IF(PRIORIDAD_UNO[[#This Row],[Comienzo Producción]]="","Por Definir",_xlfn.CONCAT(YEAR(PRIORIDAD_UNO[[#This Row],[Comienzo Producción]])," - ", MONTH(PRIORIDAD_UNO[[#This Row],[Comienzo Producción]])))</f>
        <v>2027 - 1</v>
      </c>
      <c r="AB37" s="240">
        <v>3135</v>
      </c>
      <c r="AC37" s="154"/>
    </row>
    <row r="38" spans="1:29" s="29" customFormat="1" ht="33.75" customHeight="1">
      <c r="A38" s="214" t="s">
        <v>221</v>
      </c>
      <c r="B38" s="30">
        <v>1</v>
      </c>
      <c r="C38" s="31">
        <v>2</v>
      </c>
      <c r="D38" s="31" t="s">
        <v>75</v>
      </c>
      <c r="E38"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38" s="30" t="s">
        <v>66</v>
      </c>
      <c r="G38" s="30" t="s">
        <v>172</v>
      </c>
      <c r="H38" s="30" t="s">
        <v>173</v>
      </c>
      <c r="I38" s="32" t="s">
        <v>222</v>
      </c>
      <c r="J38" s="47" t="s">
        <v>35</v>
      </c>
      <c r="K38" s="31" t="s">
        <v>36</v>
      </c>
      <c r="L38" s="31" t="s">
        <v>80</v>
      </c>
      <c r="M38" s="31" t="s">
        <v>38</v>
      </c>
      <c r="N38" s="31" t="s">
        <v>223</v>
      </c>
      <c r="O38" s="31" t="s">
        <v>123</v>
      </c>
      <c r="P38" s="197" t="s">
        <v>224</v>
      </c>
      <c r="Q38" s="31"/>
      <c r="R38" s="88"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38" s="88" t="str">
        <f>IF(PRIORIDAD_UNO[[#This Row],[Fin Desarrollo]]="","",IF(ISBLANK(VLOOKUP(PRIORIDAD_UNO[[#This Row],[Nombre del requerimiento]],'Cálculos Manual'!A:H,8,FALSE)),WORKDAY(PRIORIDAD_UNO[[#This Row],[Fin Desarrollo]],5,FERIADOS[Fecha]), VLOOKUP(PRIORIDAD_UNO[[#This Row],[Nombre del requerimiento]],'Cálculos Manual'!A:H,8,FALSE)))</f>
        <v/>
      </c>
      <c r="T38" s="88"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38" s="88" t="str">
        <f>IF(PRIORIDAD_UNO[[#This Row],[Fin Calidad]]="","",IF(ISBLANK(VLOOKUP(PRIORIDAD_UNO[[#This Row],[Nombre del requerimiento]],'Cálculos Manual'!A:L,12,FALSE)), WORKDAY(PRIORIDAD_UNO[[#This Row],[Fin Calidad]],5,FERIADOS[Fecha]), VLOOKUP(PRIORIDAD_UNO[[#This Row],[Nombre del requerimiento]],'Cálculos Manual'!A:L,12,FALSE)))</f>
        <v/>
      </c>
      <c r="V38" s="88"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38" s="87" t="str">
        <f>IFERROR(PRIORIDAD_UNO[[#This Row],[Fin Producción]]-PRIORIDAD_UNO[[#This Row],[Comienzo Desarrollo]],"")</f>
        <v/>
      </c>
      <c r="X38" s="132" t="str">
        <f>IF(ISBLANK(PRIORIDAD_UNO[[#This Row],[Comienzo Desarrollo]]),"Sin Fecha","Con Fecha")</f>
        <v>Sin Fecha</v>
      </c>
      <c r="Y38" s="129" t="str">
        <f>IF(PRIORIDAD_UNO[[#This Row],[Esfuerzo Estimado Desarrollo]]="No definido","Sin esfuerzo","Con esfuerzo")</f>
        <v>Sin esfuerzo</v>
      </c>
      <c r="Z38" s="227"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38" s="240" t="str">
        <f>IF(PRIORIDAD_UNO[[#This Row],[Comienzo Producción]]="","Por Definir",_xlfn.CONCAT(YEAR(PRIORIDAD_UNO[[#This Row],[Comienzo Producción]])," - ", MONTH(PRIORIDAD_UNO[[#This Row],[Comienzo Producción]])))</f>
        <v>Por Definir</v>
      </c>
      <c r="AB38" s="240">
        <v>3236</v>
      </c>
      <c r="AC38" s="154"/>
    </row>
    <row r="39" spans="1:29" s="29" customFormat="1" ht="33.75" customHeight="1">
      <c r="A39" s="214" t="s">
        <v>225</v>
      </c>
      <c r="B39" s="155">
        <v>1</v>
      </c>
      <c r="C39" s="155">
        <v>31</v>
      </c>
      <c r="D39" s="155" t="s">
        <v>226</v>
      </c>
      <c r="E39"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Extra Grande</v>
      </c>
      <c r="F39" s="155" t="s">
        <v>66</v>
      </c>
      <c r="G39" s="155" t="s">
        <v>119</v>
      </c>
      <c r="H39" s="155" t="s">
        <v>135</v>
      </c>
      <c r="I39" s="159" t="s">
        <v>227</v>
      </c>
      <c r="J39" s="126" t="s">
        <v>35</v>
      </c>
      <c r="K39" s="155" t="s">
        <v>62</v>
      </c>
      <c r="L39" s="155" t="s">
        <v>37</v>
      </c>
      <c r="M39" s="155" t="s">
        <v>38</v>
      </c>
      <c r="N39" s="155" t="s">
        <v>189</v>
      </c>
      <c r="O39" s="155" t="s">
        <v>123</v>
      </c>
      <c r="P39" s="159"/>
      <c r="Q39" s="123">
        <v>46391</v>
      </c>
      <c r="R39" s="122">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46617</v>
      </c>
      <c r="S39" s="122">
        <f>IF(PRIORIDAD_UNO[[#This Row],[Fin Desarrollo]]="","",IF(ISBLANK(VLOOKUP(PRIORIDAD_UNO[[#This Row],[Nombre del requerimiento]],'Cálculos Manual'!A:H,8,FALSE)),WORKDAY(PRIORIDAD_UNO[[#This Row],[Fin Desarrollo]],5,FERIADOS[Fecha]), VLOOKUP(PRIORIDAD_UNO[[#This Row],[Nombre del requerimiento]],'Cálculos Manual'!A:H,8,FALSE)))</f>
        <v>46624</v>
      </c>
      <c r="T39" s="122">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46699</v>
      </c>
      <c r="U39" s="122">
        <f>IF(PRIORIDAD_UNO[[#This Row],[Fin Calidad]]="","",IF(ISBLANK(VLOOKUP(PRIORIDAD_UNO[[#This Row],[Nombre del requerimiento]],'Cálculos Manual'!A:L,12,FALSE)), WORKDAY(PRIORIDAD_UNO[[#This Row],[Fin Calidad]],5,FERIADOS[Fecha]), VLOOKUP(PRIORIDAD_UNO[[#This Row],[Nombre del requerimiento]],'Cálculos Manual'!A:L,12,FALSE)))</f>
        <v>46706</v>
      </c>
      <c r="V39" s="122">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46713</v>
      </c>
      <c r="W39" s="38">
        <f>IFERROR(PRIORIDAD_UNO[[#This Row],[Fin Producción]]-PRIORIDAD_UNO[[#This Row],[Comienzo Desarrollo]],"")</f>
        <v>322</v>
      </c>
      <c r="X39" s="132" t="str">
        <f>IF(ISBLANK(PRIORIDAD_UNO[[#This Row],[Comienzo Desarrollo]]),"Sin Fecha","Con Fecha")</f>
        <v>Con Fecha</v>
      </c>
      <c r="Y39" s="129" t="str">
        <f>IF(PRIORIDAD_UNO[[#This Row],[Esfuerzo Estimado Desarrollo]]="No definido","Sin esfuerzo","Con esfuerzo")</f>
        <v>Con esfuerzo</v>
      </c>
      <c r="Z39"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39" s="240" t="str">
        <f>IF(PRIORIDAD_UNO[[#This Row],[Comienzo Producción]]="","Por Definir",_xlfn.CONCAT(YEAR(PRIORIDAD_UNO[[#This Row],[Comienzo Producción]])," - ", MONTH(PRIORIDAD_UNO[[#This Row],[Comienzo Producción]])))</f>
        <v>2027 - 11</v>
      </c>
      <c r="AB39" s="240">
        <v>3230</v>
      </c>
      <c r="AC39" s="154"/>
    </row>
    <row r="40" spans="1:29" s="29" customFormat="1" ht="33.75" customHeight="1">
      <c r="A40" s="214" t="s">
        <v>228</v>
      </c>
      <c r="B40" s="126">
        <v>1</v>
      </c>
      <c r="C40" s="126">
        <v>1</v>
      </c>
      <c r="D40" s="126" t="s">
        <v>229</v>
      </c>
      <c r="E40"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Proyecto</v>
      </c>
      <c r="F40" s="45" t="s">
        <v>69</v>
      </c>
      <c r="G40" s="46" t="s">
        <v>69</v>
      </c>
      <c r="H40" s="46" t="s">
        <v>69</v>
      </c>
      <c r="I40" s="43" t="s">
        <v>230</v>
      </c>
      <c r="J40" s="126" t="s">
        <v>35</v>
      </c>
      <c r="K40" s="126" t="s">
        <v>63</v>
      </c>
      <c r="L40" s="126" t="s">
        <v>37</v>
      </c>
      <c r="M40" s="126" t="s">
        <v>38</v>
      </c>
      <c r="N40" s="126" t="s">
        <v>175</v>
      </c>
      <c r="O40" s="130" t="s">
        <v>167</v>
      </c>
      <c r="P40" s="43" t="s">
        <v>231</v>
      </c>
      <c r="Q40" s="51">
        <v>46266</v>
      </c>
      <c r="R40"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46521</v>
      </c>
      <c r="S40" s="88">
        <f>IF(PRIORIDAD_UNO[[#This Row],[Fin Desarrollo]]="","",IF(ISBLANK(VLOOKUP(PRIORIDAD_UNO[[#This Row],[Nombre del requerimiento]],'Cálculos Manual'!A:H,8,FALSE)),WORKDAY(PRIORIDAD_UNO[[#This Row],[Fin Desarrollo]],5,FERIADOS[Fecha]), VLOOKUP(PRIORIDAD_UNO[[#This Row],[Nombre del requerimiento]],'Cálculos Manual'!A:H,8,FALSE)))</f>
        <v>46528</v>
      </c>
      <c r="T40"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46605</v>
      </c>
      <c r="U40" s="88">
        <f>IF(PRIORIDAD_UNO[[#This Row],[Fin Calidad]]="","",IF(ISBLANK(VLOOKUP(PRIORIDAD_UNO[[#This Row],[Nombre del requerimiento]],'Cálculos Manual'!A:L,12,FALSE)), WORKDAY(PRIORIDAD_UNO[[#This Row],[Fin Calidad]],5,FERIADOS[Fecha]), VLOOKUP(PRIORIDAD_UNO[[#This Row],[Nombre del requerimiento]],'Cálculos Manual'!A:L,12,FALSE)))</f>
        <v>46615</v>
      </c>
      <c r="V40"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46622</v>
      </c>
      <c r="W40" s="87">
        <f>IFERROR(PRIORIDAD_UNO[[#This Row],[Fin Producción]]-PRIORIDAD_UNO[[#This Row],[Comienzo Desarrollo]],"")</f>
        <v>356</v>
      </c>
      <c r="X40" s="132" t="str">
        <f>IF(ISBLANK(PRIORIDAD_UNO[[#This Row],[Comienzo Desarrollo]]),"Sin Fecha","Con Fecha")</f>
        <v>Con Fecha</v>
      </c>
      <c r="Y40" s="129" t="str">
        <f>IF(PRIORIDAD_UNO[[#This Row],[Esfuerzo Estimado Desarrollo]]="No definido","Sin esfuerzo","Con esfuerzo")</f>
        <v>Con esfuerzo</v>
      </c>
      <c r="Z40"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40" s="240" t="str">
        <f>IF(PRIORIDAD_UNO[[#This Row],[Comienzo Producción]]="","Por Definir",_xlfn.CONCAT(YEAR(PRIORIDAD_UNO[[#This Row],[Comienzo Producción]])," - ", MONTH(PRIORIDAD_UNO[[#This Row],[Comienzo Producción]])))</f>
        <v>2027 - 8</v>
      </c>
      <c r="AB40" s="240" t="s">
        <v>116</v>
      </c>
      <c r="AC40" s="154"/>
    </row>
    <row r="41" spans="1:29" s="29" customFormat="1" ht="33.75" customHeight="1">
      <c r="A41" s="214" t="s">
        <v>232</v>
      </c>
      <c r="B41" s="30">
        <v>1</v>
      </c>
      <c r="C41" s="30">
        <v>5</v>
      </c>
      <c r="D41" s="31" t="s">
        <v>46</v>
      </c>
      <c r="E41"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41" s="30" t="s">
        <v>66</v>
      </c>
      <c r="G41" s="30" t="s">
        <v>119</v>
      </c>
      <c r="H41" s="30" t="s">
        <v>120</v>
      </c>
      <c r="I41" s="32" t="s">
        <v>233</v>
      </c>
      <c r="J41" s="47" t="s">
        <v>35</v>
      </c>
      <c r="K41" s="31" t="s">
        <v>36</v>
      </c>
      <c r="L41" s="31" t="s">
        <v>37</v>
      </c>
      <c r="M41" s="31" t="s">
        <v>38</v>
      </c>
      <c r="N41" s="31" t="s">
        <v>234</v>
      </c>
      <c r="O41" s="33" t="s">
        <v>123</v>
      </c>
      <c r="P41" s="112" t="s">
        <v>235</v>
      </c>
      <c r="Q41" s="121">
        <v>46237</v>
      </c>
      <c r="R41"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46399</v>
      </c>
      <c r="S41" s="88">
        <f>IF(PRIORIDAD_UNO[[#This Row],[Fin Desarrollo]]="","",IF(ISBLANK(VLOOKUP(PRIORIDAD_UNO[[#This Row],[Nombre del requerimiento]],'Cálculos Manual'!A:H,8,FALSE)),WORKDAY(PRIORIDAD_UNO[[#This Row],[Fin Desarrollo]],5,FERIADOS[Fecha]), VLOOKUP(PRIORIDAD_UNO[[#This Row],[Nombre del requerimiento]],'Cálculos Manual'!A:H,8,FALSE)))</f>
        <v>46406</v>
      </c>
      <c r="T41"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46478</v>
      </c>
      <c r="U41" s="88">
        <f>IF(PRIORIDAD_UNO[[#This Row],[Fin Calidad]]="","",IF(ISBLANK(VLOOKUP(PRIORIDAD_UNO[[#This Row],[Nombre del requerimiento]],'Cálculos Manual'!A:L,12,FALSE)), WORKDAY(PRIORIDAD_UNO[[#This Row],[Fin Calidad]],5,FERIADOS[Fecha]), VLOOKUP(PRIORIDAD_UNO[[#This Row],[Nombre del requerimiento]],'Cálculos Manual'!A:L,12,FALSE)))</f>
        <v>46485</v>
      </c>
      <c r="V41"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46499</v>
      </c>
      <c r="W41" s="87">
        <f>IFERROR(PRIORIDAD_UNO[[#This Row],[Fin Producción]]-PRIORIDAD_UNO[[#This Row],[Comienzo Desarrollo]],"")</f>
        <v>262</v>
      </c>
      <c r="X41" s="132" t="str">
        <f>IF(ISBLANK(PRIORIDAD_UNO[[#This Row],[Comienzo Desarrollo]]),"Sin Fecha","Con Fecha")</f>
        <v>Con Fecha</v>
      </c>
      <c r="Y41" s="129" t="str">
        <f>IF(PRIORIDAD_UNO[[#This Row],[Esfuerzo Estimado Desarrollo]]="No definido","Sin esfuerzo","Con esfuerzo")</f>
        <v>Con esfuerzo</v>
      </c>
      <c r="Z41"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41" s="240" t="str">
        <f>IF(PRIORIDAD_UNO[[#This Row],[Comienzo Producción]]="","Por Definir",_xlfn.CONCAT(YEAR(PRIORIDAD_UNO[[#This Row],[Comienzo Producción]])," - ", MONTH(PRIORIDAD_UNO[[#This Row],[Comienzo Producción]])))</f>
        <v>2027 - 4</v>
      </c>
      <c r="AB41" s="240">
        <v>3224</v>
      </c>
      <c r="AC41" s="154"/>
    </row>
    <row r="42" spans="1:29" s="29" customFormat="1" ht="33.75" customHeight="1">
      <c r="A42" s="214" t="s">
        <v>236</v>
      </c>
      <c r="B42" s="126">
        <v>1</v>
      </c>
      <c r="C42" s="126">
        <v>7</v>
      </c>
      <c r="D42" s="126" t="s">
        <v>75</v>
      </c>
      <c r="E42"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42" s="126" t="s">
        <v>66</v>
      </c>
      <c r="G42" s="126" t="s">
        <v>119</v>
      </c>
      <c r="H42" s="126" t="s">
        <v>120</v>
      </c>
      <c r="I42" s="125" t="s">
        <v>237</v>
      </c>
      <c r="J42" s="155" t="s">
        <v>35</v>
      </c>
      <c r="K42" s="126" t="s">
        <v>63</v>
      </c>
      <c r="L42" s="126" t="s">
        <v>79</v>
      </c>
      <c r="M42" s="126" t="s">
        <v>55</v>
      </c>
      <c r="N42" s="126" t="s">
        <v>56</v>
      </c>
      <c r="O42" s="126" t="s">
        <v>123</v>
      </c>
      <c r="P42" s="163" t="s">
        <v>127</v>
      </c>
      <c r="Q42" s="51"/>
      <c r="R42" s="88"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42" s="88" t="str">
        <f>IF(PRIORIDAD_UNO[[#This Row],[Fin Desarrollo]]="","",IF(ISBLANK(VLOOKUP(PRIORIDAD_UNO[[#This Row],[Nombre del requerimiento]],'Cálculos Manual'!A:H,8,FALSE)),WORKDAY(PRIORIDAD_UNO[[#This Row],[Fin Desarrollo]],5,FERIADOS[Fecha]), VLOOKUP(PRIORIDAD_UNO[[#This Row],[Nombre del requerimiento]],'Cálculos Manual'!A:H,8,FALSE)))</f>
        <v/>
      </c>
      <c r="T42" s="88"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42" s="88" t="str">
        <f>IF(PRIORIDAD_UNO[[#This Row],[Fin Calidad]]="","",IF(ISBLANK(VLOOKUP(PRIORIDAD_UNO[[#This Row],[Nombre del requerimiento]],'Cálculos Manual'!A:L,12,FALSE)), WORKDAY(PRIORIDAD_UNO[[#This Row],[Fin Calidad]],5,FERIADOS[Fecha]), VLOOKUP(PRIORIDAD_UNO[[#This Row],[Nombre del requerimiento]],'Cálculos Manual'!A:L,12,FALSE)))</f>
        <v/>
      </c>
      <c r="V42" s="88"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42" s="87" t="str">
        <f>IFERROR(PRIORIDAD_UNO[[#This Row],[Fin Producción]]-PRIORIDAD_UNO[[#This Row],[Comienzo Desarrollo]],"")</f>
        <v/>
      </c>
      <c r="X42" s="132" t="str">
        <f>IF(ISBLANK(PRIORIDAD_UNO[[#This Row],[Comienzo Desarrollo]]),"Sin Fecha","Con Fecha")</f>
        <v>Sin Fecha</v>
      </c>
      <c r="Y42" s="129" t="str">
        <f>IF(PRIORIDAD_UNO[[#This Row],[Esfuerzo Estimado Desarrollo]]="No definido","Sin esfuerzo","Con esfuerzo")</f>
        <v>Sin esfuerzo</v>
      </c>
      <c r="Z42" s="226"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42" s="240" t="str">
        <f>IF(PRIORIDAD_UNO[[#This Row],[Comienzo Producción]]="","Por Definir",_xlfn.CONCAT(YEAR(PRIORIDAD_UNO[[#This Row],[Comienzo Producción]])," - ", MONTH(PRIORIDAD_UNO[[#This Row],[Comienzo Producción]])))</f>
        <v>Por Definir</v>
      </c>
      <c r="AB42" s="240">
        <v>3240</v>
      </c>
      <c r="AC42" s="154"/>
    </row>
    <row r="43" spans="1:29" s="29" customFormat="1" ht="33.75" customHeight="1">
      <c r="A43" s="214" t="s">
        <v>238</v>
      </c>
      <c r="B43" s="126">
        <v>1</v>
      </c>
      <c r="C43" s="126">
        <v>10</v>
      </c>
      <c r="D43" s="126" t="s">
        <v>226</v>
      </c>
      <c r="E43"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Extra Grande</v>
      </c>
      <c r="F43" s="126" t="s">
        <v>68</v>
      </c>
      <c r="G43" s="126" t="s">
        <v>129</v>
      </c>
      <c r="H43" s="126" t="s">
        <v>204</v>
      </c>
      <c r="I43" s="125" t="s">
        <v>60</v>
      </c>
      <c r="J43" s="126" t="s">
        <v>35</v>
      </c>
      <c r="K43" s="126" t="s">
        <v>36</v>
      </c>
      <c r="L43" s="126" t="s">
        <v>37</v>
      </c>
      <c r="M43" s="126" t="s">
        <v>38</v>
      </c>
      <c r="N43" s="126" t="s">
        <v>239</v>
      </c>
      <c r="O43" s="126" t="s">
        <v>132</v>
      </c>
      <c r="P43" s="125"/>
      <c r="Q43" s="51">
        <v>46266</v>
      </c>
      <c r="R43"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46491</v>
      </c>
      <c r="S43" s="88">
        <f>IF(PRIORIDAD_UNO[[#This Row],[Fin Desarrollo]]="","",IF(ISBLANK(VLOOKUP(PRIORIDAD_UNO[[#This Row],[Nombre del requerimiento]],'Cálculos Manual'!A:H,8,FALSE)),WORKDAY(PRIORIDAD_UNO[[#This Row],[Fin Desarrollo]],5,FERIADOS[Fecha]), VLOOKUP(PRIORIDAD_UNO[[#This Row],[Nombre del requerimiento]],'Cálculos Manual'!A:H,8,FALSE)))</f>
        <v>46498</v>
      </c>
      <c r="T43"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46569</v>
      </c>
      <c r="U43" s="88">
        <f>IF(PRIORIDAD_UNO[[#This Row],[Fin Calidad]]="","",IF(ISBLANK(VLOOKUP(PRIORIDAD_UNO[[#This Row],[Nombre del requerimiento]],'Cálculos Manual'!A:L,12,FALSE)), WORKDAY(PRIORIDAD_UNO[[#This Row],[Fin Calidad]],5,FERIADOS[Fecha]), VLOOKUP(PRIORIDAD_UNO[[#This Row],[Nombre del requerimiento]],'Cálculos Manual'!A:L,12,FALSE)))</f>
        <v>46577</v>
      </c>
      <c r="V43"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46584</v>
      </c>
      <c r="W43" s="87">
        <f>IFERROR(PRIORIDAD_UNO[[#This Row],[Fin Producción]]-PRIORIDAD_UNO[[#This Row],[Comienzo Desarrollo]],"")</f>
        <v>318</v>
      </c>
      <c r="X43" s="132" t="str">
        <f>IF(ISBLANK(PRIORIDAD_UNO[[#This Row],[Comienzo Desarrollo]]),"Sin Fecha","Con Fecha")</f>
        <v>Con Fecha</v>
      </c>
      <c r="Y43" s="129" t="str">
        <f>IF(PRIORIDAD_UNO[[#This Row],[Esfuerzo Estimado Desarrollo]]="No definido","Sin esfuerzo","Con esfuerzo")</f>
        <v>Con esfuerzo</v>
      </c>
      <c r="Z43"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43" s="240" t="str">
        <f>IF(PRIORIDAD_UNO[[#This Row],[Comienzo Producción]]="","Por Definir",_xlfn.CONCAT(YEAR(PRIORIDAD_UNO[[#This Row],[Comienzo Producción]])," - ", MONTH(PRIORIDAD_UNO[[#This Row],[Comienzo Producción]])))</f>
        <v>2027 - 7</v>
      </c>
      <c r="AB43" s="240" t="s">
        <v>116</v>
      </c>
      <c r="AC43" s="154"/>
    </row>
    <row r="44" spans="1:29" s="29" customFormat="1" ht="33.75" customHeight="1">
      <c r="A44" s="214" t="s">
        <v>240</v>
      </c>
      <c r="B44" s="126">
        <v>1</v>
      </c>
      <c r="C44" s="126">
        <v>44</v>
      </c>
      <c r="D44" s="126" t="s">
        <v>75</v>
      </c>
      <c r="E44"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44" s="126" t="s">
        <v>66</v>
      </c>
      <c r="G44" s="126" t="s">
        <v>157</v>
      </c>
      <c r="H44" s="126" t="s">
        <v>158</v>
      </c>
      <c r="I44" s="125" t="s">
        <v>241</v>
      </c>
      <c r="J44" s="126" t="s">
        <v>35</v>
      </c>
      <c r="K44" s="126" t="s">
        <v>54</v>
      </c>
      <c r="L44" s="126" t="s">
        <v>81</v>
      </c>
      <c r="M44" s="126" t="s">
        <v>151</v>
      </c>
      <c r="N44" s="126" t="s">
        <v>160</v>
      </c>
      <c r="O44" s="126" t="s">
        <v>123</v>
      </c>
      <c r="P44" s="125" t="s">
        <v>242</v>
      </c>
      <c r="Q44" s="51"/>
      <c r="R44" s="88"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44" s="88" t="str">
        <f>IF(PRIORIDAD_UNO[[#This Row],[Fin Desarrollo]]="","",IF(ISBLANK(VLOOKUP(PRIORIDAD_UNO[[#This Row],[Nombre del requerimiento]],'Cálculos Manual'!A:H,8,FALSE)),WORKDAY(PRIORIDAD_UNO[[#This Row],[Fin Desarrollo]],5,FERIADOS[Fecha]), VLOOKUP(PRIORIDAD_UNO[[#This Row],[Nombre del requerimiento]],'Cálculos Manual'!A:H,8,FALSE)))</f>
        <v/>
      </c>
      <c r="T44" s="88"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44" s="88" t="str">
        <f>IF(PRIORIDAD_UNO[[#This Row],[Fin Calidad]]="","",IF(ISBLANK(VLOOKUP(PRIORIDAD_UNO[[#This Row],[Nombre del requerimiento]],'Cálculos Manual'!A:L,12,FALSE)), WORKDAY(PRIORIDAD_UNO[[#This Row],[Fin Calidad]],5,FERIADOS[Fecha]), VLOOKUP(PRIORIDAD_UNO[[#This Row],[Nombre del requerimiento]],'Cálculos Manual'!A:L,12,FALSE)))</f>
        <v/>
      </c>
      <c r="V44" s="88"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44" s="87" t="str">
        <f>IFERROR(PRIORIDAD_UNO[[#This Row],[Fin Producción]]-PRIORIDAD_UNO[[#This Row],[Comienzo Desarrollo]],"")</f>
        <v/>
      </c>
      <c r="X44" s="132" t="str">
        <f>IF(ISBLANK(PRIORIDAD_UNO[[#This Row],[Comienzo Desarrollo]]),"Sin Fecha","Con Fecha")</f>
        <v>Sin Fecha</v>
      </c>
      <c r="Y44" s="129" t="str">
        <f>IF(PRIORIDAD_UNO[[#This Row],[Esfuerzo Estimado Desarrollo]]="No definido","Sin esfuerzo","Con esfuerzo")</f>
        <v>Sin esfuerzo</v>
      </c>
      <c r="Z44" s="226"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44" s="240" t="str">
        <f>IF(PRIORIDAD_UNO[[#This Row],[Comienzo Producción]]="","Por Definir",_xlfn.CONCAT(YEAR(PRIORIDAD_UNO[[#This Row],[Comienzo Producción]])," - ", MONTH(PRIORIDAD_UNO[[#This Row],[Comienzo Producción]])))</f>
        <v>Por Definir</v>
      </c>
      <c r="AB44" s="240">
        <v>3248</v>
      </c>
      <c r="AC44" s="154"/>
    </row>
    <row r="45" spans="1:29" s="29" customFormat="1" ht="33.75" customHeight="1">
      <c r="A45" s="215" t="s">
        <v>243</v>
      </c>
      <c r="B45" s="126">
        <v>1</v>
      </c>
      <c r="C45" s="126">
        <v>15</v>
      </c>
      <c r="D45" s="126"/>
      <c r="E45"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45" s="126" t="s">
        <v>31</v>
      </c>
      <c r="G45" s="126" t="s">
        <v>32</v>
      </c>
      <c r="H45" s="126" t="s">
        <v>33</v>
      </c>
      <c r="I45" s="125" t="s">
        <v>114</v>
      </c>
      <c r="J45" s="126" t="s">
        <v>35</v>
      </c>
      <c r="K45" s="126" t="s">
        <v>54</v>
      </c>
      <c r="L45" s="126" t="s">
        <v>80</v>
      </c>
      <c r="M45" s="126" t="s">
        <v>38</v>
      </c>
      <c r="N45" s="126" t="s">
        <v>122</v>
      </c>
      <c r="O45" s="126" t="s">
        <v>40</v>
      </c>
      <c r="P45" s="125"/>
      <c r="Q45" s="51"/>
      <c r="R45" s="88"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45" s="88" t="str">
        <f>IF(PRIORIDAD_UNO[[#This Row],[Fin Desarrollo]]="","",IF(ISBLANK(VLOOKUP(PRIORIDAD_UNO[[#This Row],[Nombre del requerimiento]],'Cálculos Manual'!A:H,8,FALSE)),WORKDAY(PRIORIDAD_UNO[[#This Row],[Fin Desarrollo]],5,FERIADOS[Fecha]), VLOOKUP(PRIORIDAD_UNO[[#This Row],[Nombre del requerimiento]],'Cálculos Manual'!A:H,8,FALSE)))</f>
        <v/>
      </c>
      <c r="T45" s="88"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45" s="88" t="str">
        <f>IF(PRIORIDAD_UNO[[#This Row],[Fin Calidad]]="","",IF(ISBLANK(VLOOKUP(PRIORIDAD_UNO[[#This Row],[Nombre del requerimiento]],'Cálculos Manual'!A:L,12,FALSE)), WORKDAY(PRIORIDAD_UNO[[#This Row],[Fin Calidad]],5,FERIADOS[Fecha]), VLOOKUP(PRIORIDAD_UNO[[#This Row],[Nombre del requerimiento]],'Cálculos Manual'!A:L,12,FALSE)))</f>
        <v/>
      </c>
      <c r="V45" s="88"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45" s="87" t="str">
        <f>IFERROR(PRIORIDAD_UNO[[#This Row],[Fin Producción]]-PRIORIDAD_UNO[[#This Row],[Comienzo Desarrollo]],"")</f>
        <v/>
      </c>
      <c r="X45" s="132" t="str">
        <f>IF(ISBLANK(PRIORIDAD_UNO[[#This Row],[Comienzo Desarrollo]]),"Sin Fecha","Con Fecha")</f>
        <v>Sin Fecha</v>
      </c>
      <c r="Y45" s="129" t="str">
        <f>IF(PRIORIDAD_UNO[[#This Row],[Esfuerzo Estimado Desarrollo]]="No definido","Sin esfuerzo","Con esfuerzo")</f>
        <v>Con esfuerzo</v>
      </c>
      <c r="Z45" s="226"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45" s="240" t="str">
        <f>IF(PRIORIDAD_UNO[[#This Row],[Comienzo Producción]]="","Por Definir",_xlfn.CONCAT(YEAR(PRIORIDAD_UNO[[#This Row],[Comienzo Producción]])," - ", MONTH(PRIORIDAD_UNO[[#This Row],[Comienzo Producción]])))</f>
        <v>Por Definir</v>
      </c>
      <c r="AB45" s="240" t="s">
        <v>244</v>
      </c>
      <c r="AC45" s="154"/>
    </row>
    <row r="46" spans="1:29" s="29" customFormat="1" ht="33.75" customHeight="1">
      <c r="A46" s="214" t="s">
        <v>245</v>
      </c>
      <c r="B46" s="126">
        <v>1</v>
      </c>
      <c r="C46" s="126">
        <v>42</v>
      </c>
      <c r="D46" s="126" t="s">
        <v>162</v>
      </c>
      <c r="E46"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46" s="126" t="s">
        <v>66</v>
      </c>
      <c r="G46" s="126" t="s">
        <v>119</v>
      </c>
      <c r="H46" s="126" t="s">
        <v>135</v>
      </c>
      <c r="I46" s="125" t="s">
        <v>246</v>
      </c>
      <c r="J46" s="47" t="s">
        <v>35</v>
      </c>
      <c r="K46" s="126" t="s">
        <v>54</v>
      </c>
      <c r="L46" s="126" t="s">
        <v>37</v>
      </c>
      <c r="M46" s="126" t="s">
        <v>38</v>
      </c>
      <c r="N46" s="126" t="s">
        <v>189</v>
      </c>
      <c r="O46" s="126" t="s">
        <v>123</v>
      </c>
      <c r="P46" s="125"/>
      <c r="Q46" s="121">
        <v>46727</v>
      </c>
      <c r="R46" s="122">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46821</v>
      </c>
      <c r="S46" s="122">
        <f>IF(PRIORIDAD_UNO[[#This Row],[Fin Desarrollo]]="","",IF(ISBLANK(VLOOKUP(PRIORIDAD_UNO[[#This Row],[Nombre del requerimiento]],'Cálculos Manual'!A:H,8,FALSE)),WORKDAY(PRIORIDAD_UNO[[#This Row],[Fin Desarrollo]],5,FERIADOS[Fecha]), VLOOKUP(PRIORIDAD_UNO[[#This Row],[Nombre del requerimiento]],'Cálculos Manual'!A:H,8,FALSE)))</f>
        <v>46828</v>
      </c>
      <c r="T46" s="122">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46884</v>
      </c>
      <c r="U46" s="122">
        <f>IF(PRIORIDAD_UNO[[#This Row],[Fin Calidad]]="","",IF(ISBLANK(VLOOKUP(PRIORIDAD_UNO[[#This Row],[Nombre del requerimiento]],'Cálculos Manual'!A:L,12,FALSE)), WORKDAY(PRIORIDAD_UNO[[#This Row],[Fin Calidad]],5,FERIADOS[Fecha]), VLOOKUP(PRIORIDAD_UNO[[#This Row],[Nombre del requerimiento]],'Cálculos Manual'!A:L,12,FALSE)))</f>
        <v>46891</v>
      </c>
      <c r="V46" s="122">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46898</v>
      </c>
      <c r="W46" s="38">
        <f>IFERROR(PRIORIDAD_UNO[[#This Row],[Fin Producción]]-PRIORIDAD_UNO[[#This Row],[Comienzo Desarrollo]],"")</f>
        <v>171</v>
      </c>
      <c r="X46" s="132" t="str">
        <f>IF(ISBLANK(PRIORIDAD_UNO[[#This Row],[Comienzo Desarrollo]]),"Sin Fecha","Con Fecha")</f>
        <v>Con Fecha</v>
      </c>
      <c r="Y46" s="129" t="str">
        <f>IF(PRIORIDAD_UNO[[#This Row],[Esfuerzo Estimado Desarrollo]]="No definido","Sin esfuerzo","Con esfuerzo")</f>
        <v>Con esfuerzo</v>
      </c>
      <c r="Z46"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46" s="240" t="str">
        <f>IF(PRIORIDAD_UNO[[#This Row],[Comienzo Producción]]="","Por Definir",_xlfn.CONCAT(YEAR(PRIORIDAD_UNO[[#This Row],[Comienzo Producción]])," - ", MONTH(PRIORIDAD_UNO[[#This Row],[Comienzo Producción]])))</f>
        <v>2028 - 5</v>
      </c>
      <c r="AB46" s="240">
        <v>3246</v>
      </c>
      <c r="AC46" s="154"/>
    </row>
    <row r="47" spans="1:29" s="29" customFormat="1" ht="33.75" customHeight="1">
      <c r="A47" s="214" t="s">
        <v>247</v>
      </c>
      <c r="B47" s="126">
        <v>1</v>
      </c>
      <c r="C47" s="126">
        <v>8</v>
      </c>
      <c r="D47" s="126" t="s">
        <v>29</v>
      </c>
      <c r="E47"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47" s="126" t="s">
        <v>65</v>
      </c>
      <c r="G47" s="126" t="s">
        <v>248</v>
      </c>
      <c r="H47" s="126" t="s">
        <v>249</v>
      </c>
      <c r="I47" s="125" t="s">
        <v>60</v>
      </c>
      <c r="J47" s="126" t="s">
        <v>35</v>
      </c>
      <c r="K47" s="126" t="s">
        <v>63</v>
      </c>
      <c r="L47" s="126" t="s">
        <v>37</v>
      </c>
      <c r="M47" s="126" t="s">
        <v>38</v>
      </c>
      <c r="N47" s="126" t="s">
        <v>189</v>
      </c>
      <c r="O47" s="126" t="s">
        <v>153</v>
      </c>
      <c r="P47" s="125"/>
      <c r="Q47" s="121">
        <v>46569</v>
      </c>
      <c r="R47" s="122">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46672</v>
      </c>
      <c r="S47" s="122">
        <f>IF(PRIORIDAD_UNO[[#This Row],[Fin Desarrollo]]="","",IF(ISBLANK(VLOOKUP(PRIORIDAD_UNO[[#This Row],[Nombre del requerimiento]],'Cálculos Manual'!A:H,8,FALSE)),WORKDAY(PRIORIDAD_UNO[[#This Row],[Fin Desarrollo]],5,FERIADOS[Fecha]), VLOOKUP(PRIORIDAD_UNO[[#This Row],[Nombre del requerimiento]],'Cálculos Manual'!A:H,8,FALSE)))</f>
        <v>46679</v>
      </c>
      <c r="T47" s="122">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46738</v>
      </c>
      <c r="U47" s="122">
        <f>IF(PRIORIDAD_UNO[[#This Row],[Fin Calidad]]="","",IF(ISBLANK(VLOOKUP(PRIORIDAD_UNO[[#This Row],[Nombre del requerimiento]],'Cálculos Manual'!A:L,12,FALSE)), WORKDAY(PRIORIDAD_UNO[[#This Row],[Fin Calidad]],5,FERIADOS[Fecha]), VLOOKUP(PRIORIDAD_UNO[[#This Row],[Nombre del requerimiento]],'Cálculos Manual'!A:L,12,FALSE)))</f>
        <v>46745</v>
      </c>
      <c r="V47" s="122">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46752</v>
      </c>
      <c r="W47" s="38">
        <f>IFERROR(PRIORIDAD_UNO[[#This Row],[Fin Producción]]-PRIORIDAD_UNO[[#This Row],[Comienzo Desarrollo]],"")</f>
        <v>183</v>
      </c>
      <c r="X47" s="132" t="str">
        <f>IF(ISBLANK(PRIORIDAD_UNO[[#This Row],[Comienzo Desarrollo]]),"Sin Fecha","Con Fecha")</f>
        <v>Con Fecha</v>
      </c>
      <c r="Y47" s="129" t="str">
        <f>IF(PRIORIDAD_UNO[[#This Row],[Esfuerzo Estimado Desarrollo]]="No definido","Sin esfuerzo","Con esfuerzo")</f>
        <v>Con esfuerzo</v>
      </c>
      <c r="Z47"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47" s="240" t="str">
        <f>IF(PRIORIDAD_UNO[[#This Row],[Comienzo Producción]]="","Por Definir",_xlfn.CONCAT(YEAR(PRIORIDAD_UNO[[#This Row],[Comienzo Producción]])," - ", MONTH(PRIORIDAD_UNO[[#This Row],[Comienzo Producción]])))</f>
        <v>2027 - 12</v>
      </c>
      <c r="AB47" s="240" t="s">
        <v>116</v>
      </c>
      <c r="AC47" s="154"/>
    </row>
    <row r="48" spans="1:29" s="29" customFormat="1" ht="33.75" customHeight="1">
      <c r="A48" s="214" t="s">
        <v>250</v>
      </c>
      <c r="B48" s="155">
        <v>1</v>
      </c>
      <c r="C48" s="155">
        <v>7</v>
      </c>
      <c r="D48" s="155" t="s">
        <v>29</v>
      </c>
      <c r="E48"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48" s="126" t="s">
        <v>65</v>
      </c>
      <c r="G48" s="126" t="s">
        <v>248</v>
      </c>
      <c r="H48" s="155" t="s">
        <v>249</v>
      </c>
      <c r="I48" s="159" t="s">
        <v>60</v>
      </c>
      <c r="J48" s="155" t="s">
        <v>35</v>
      </c>
      <c r="K48" s="155" t="s">
        <v>63</v>
      </c>
      <c r="L48" s="155" t="s">
        <v>37</v>
      </c>
      <c r="M48" s="155" t="s">
        <v>38</v>
      </c>
      <c r="N48" s="155" t="s">
        <v>189</v>
      </c>
      <c r="O48" s="155" t="s">
        <v>153</v>
      </c>
      <c r="P48" s="159"/>
      <c r="Q48" s="123">
        <v>46569</v>
      </c>
      <c r="R48" s="122">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46672</v>
      </c>
      <c r="S48" s="122">
        <f>IF(PRIORIDAD_UNO[[#This Row],[Fin Desarrollo]]="","",IF(ISBLANK(VLOOKUP(PRIORIDAD_UNO[[#This Row],[Nombre del requerimiento]],'Cálculos Manual'!A:H,8,FALSE)),WORKDAY(PRIORIDAD_UNO[[#This Row],[Fin Desarrollo]],5,FERIADOS[Fecha]), VLOOKUP(PRIORIDAD_UNO[[#This Row],[Nombre del requerimiento]],'Cálculos Manual'!A:H,8,FALSE)))</f>
        <v>46679</v>
      </c>
      <c r="T48" s="122">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46738</v>
      </c>
      <c r="U48" s="122">
        <f>IF(PRIORIDAD_UNO[[#This Row],[Fin Calidad]]="","",IF(ISBLANK(VLOOKUP(PRIORIDAD_UNO[[#This Row],[Nombre del requerimiento]],'Cálculos Manual'!A:L,12,FALSE)), WORKDAY(PRIORIDAD_UNO[[#This Row],[Fin Calidad]],5,FERIADOS[Fecha]), VLOOKUP(PRIORIDAD_UNO[[#This Row],[Nombre del requerimiento]],'Cálculos Manual'!A:L,12,FALSE)))</f>
        <v>46745</v>
      </c>
      <c r="V48" s="122">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46752</v>
      </c>
      <c r="W48" s="38">
        <f>IFERROR(PRIORIDAD_UNO[[#This Row],[Fin Producción]]-PRIORIDAD_UNO[[#This Row],[Comienzo Desarrollo]],"")</f>
        <v>183</v>
      </c>
      <c r="X48" s="132" t="str">
        <f>IF(ISBLANK(PRIORIDAD_UNO[[#This Row],[Comienzo Desarrollo]]),"Sin Fecha","Con Fecha")</f>
        <v>Con Fecha</v>
      </c>
      <c r="Y48" s="129" t="str">
        <f>IF(PRIORIDAD_UNO[[#This Row],[Esfuerzo Estimado Desarrollo]]="No definido","Sin esfuerzo","Con esfuerzo")</f>
        <v>Con esfuerzo</v>
      </c>
      <c r="Z48" s="158" t="str">
        <f ca="1">IF(ISBLANK(PRIORIDAD_UNO[[#This Row],[Comienzo Desarrollo]]),"🔵 Sin Fecha",
IF(PRIORIDAD_UNO[[#This Row],[Comienzo Desarrollo]]&lt;TODAY(),"🔴 Vencido",
IF(PRIORIDAD_UNO[[#This Row],[Comienzo Desarrollo]]=TODAY(),"🟡 Vence hoy",
IF((PRIORIDAD_UNO[[#This Row],[Comienzo Desarrollo]]-TODAY())&lt;=5,"🟠 Por vencer",
"🟢 A tiempo"))))</f>
        <v>🟢 A tiempo</v>
      </c>
      <c r="AA48" s="240" t="str">
        <f>IF(PRIORIDAD_UNO[[#This Row],[Comienzo Producción]]="","Por Definir",_xlfn.CONCAT(YEAR(PRIORIDAD_UNO[[#This Row],[Comienzo Producción]])," - ", MONTH(PRIORIDAD_UNO[[#This Row],[Comienzo Producción]])))</f>
        <v>2027 - 12</v>
      </c>
      <c r="AB48" s="240" t="s">
        <v>116</v>
      </c>
      <c r="AC48" s="154"/>
    </row>
    <row r="49" spans="1:29" s="29" customFormat="1" ht="33.75" customHeight="1">
      <c r="A49" s="214" t="s">
        <v>251</v>
      </c>
      <c r="B49" s="126">
        <v>1</v>
      </c>
      <c r="C49" s="126">
        <v>8</v>
      </c>
      <c r="D49" s="126" t="s">
        <v>29</v>
      </c>
      <c r="E49"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49" s="126" t="s">
        <v>31</v>
      </c>
      <c r="G49" s="126" t="s">
        <v>32</v>
      </c>
      <c r="H49" s="126" t="s">
        <v>33</v>
      </c>
      <c r="I49" s="125" t="s">
        <v>34</v>
      </c>
      <c r="J49" s="155" t="s">
        <v>35</v>
      </c>
      <c r="K49" s="126" t="s">
        <v>49</v>
      </c>
      <c r="L49" s="126" t="s">
        <v>37</v>
      </c>
      <c r="M49" s="126" t="s">
        <v>38</v>
      </c>
      <c r="N49" s="126" t="s">
        <v>50</v>
      </c>
      <c r="O49" s="126" t="s">
        <v>40</v>
      </c>
      <c r="P49" s="125" t="s">
        <v>252</v>
      </c>
      <c r="Q49" s="51">
        <v>46266</v>
      </c>
      <c r="R49"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46359</v>
      </c>
      <c r="S49" s="88">
        <f>IF(PRIORIDAD_UNO[[#This Row],[Fin Desarrollo]]="","",IF(ISBLANK(VLOOKUP(PRIORIDAD_UNO[[#This Row],[Nombre del requerimiento]],'Cálculos Manual'!A:H,8,FALSE)),WORKDAY(PRIORIDAD_UNO[[#This Row],[Fin Desarrollo]],5,FERIADOS[Fecha]), VLOOKUP(PRIORIDAD_UNO[[#This Row],[Nombre del requerimiento]],'Cálculos Manual'!A:H,8,FALSE)))</f>
        <v>46370</v>
      </c>
      <c r="T49"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46428</v>
      </c>
      <c r="U49" s="88">
        <f>IF(PRIORIDAD_UNO[[#This Row],[Fin Calidad]]="","",IF(ISBLANK(VLOOKUP(PRIORIDAD_UNO[[#This Row],[Nombre del requerimiento]],'Cálculos Manual'!A:L,12,FALSE)), WORKDAY(PRIORIDAD_UNO[[#This Row],[Fin Calidad]],5,FERIADOS[Fecha]), VLOOKUP(PRIORIDAD_UNO[[#This Row],[Nombre del requerimiento]],'Cálculos Manual'!A:L,12,FALSE)))</f>
        <v>46435</v>
      </c>
      <c r="V49"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46442</v>
      </c>
      <c r="W49" s="87">
        <f>IFERROR(PRIORIDAD_UNO[[#This Row],[Fin Producción]]-PRIORIDAD_UNO[[#This Row],[Comienzo Desarrollo]],"")</f>
        <v>176</v>
      </c>
      <c r="X49" s="132" t="str">
        <f>IF(ISBLANK(PRIORIDAD_UNO[[#This Row],[Comienzo Desarrollo]]),"Sin Fecha","Con Fecha")</f>
        <v>Con Fecha</v>
      </c>
      <c r="Y49" s="129" t="str">
        <f>IF(PRIORIDAD_UNO[[#This Row],[Esfuerzo Estimado Desarrollo]]="No definido","Sin esfuerzo","Con esfuerzo")</f>
        <v>Con esfuerzo</v>
      </c>
      <c r="Z49"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49" s="240" t="str">
        <f>IF(PRIORIDAD_UNO[[#This Row],[Comienzo Producción]]="","Por Definir",_xlfn.CONCAT(YEAR(PRIORIDAD_UNO[[#This Row],[Comienzo Producción]])," - ", MONTH(PRIORIDAD_UNO[[#This Row],[Comienzo Producción]])))</f>
        <v>2027 - 2</v>
      </c>
      <c r="AB49" s="240">
        <v>3338</v>
      </c>
      <c r="AC49" s="154"/>
    </row>
    <row r="50" spans="1:29" s="29" customFormat="1" ht="33.75" customHeight="1">
      <c r="A50" s="214" t="s">
        <v>253</v>
      </c>
      <c r="B50" s="126">
        <v>1</v>
      </c>
      <c r="C50" s="126">
        <v>2</v>
      </c>
      <c r="D50" s="126" t="s">
        <v>254</v>
      </c>
      <c r="E50"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Extra Grande</v>
      </c>
      <c r="F50" s="126" t="s">
        <v>72</v>
      </c>
      <c r="G50" s="126" t="s">
        <v>255</v>
      </c>
      <c r="H50" s="126" t="s">
        <v>256</v>
      </c>
      <c r="I50" s="125" t="s">
        <v>257</v>
      </c>
      <c r="J50" s="126" t="s">
        <v>35</v>
      </c>
      <c r="K50" s="126" t="s">
        <v>54</v>
      </c>
      <c r="L50" s="126" t="s">
        <v>37</v>
      </c>
      <c r="M50" s="126" t="s">
        <v>151</v>
      </c>
      <c r="N50" s="126" t="s">
        <v>152</v>
      </c>
      <c r="O50" s="42" t="s">
        <v>167</v>
      </c>
      <c r="P50" s="125"/>
      <c r="Q50" s="51">
        <v>46240</v>
      </c>
      <c r="R50"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46463</v>
      </c>
      <c r="S50" s="88">
        <f>IF(PRIORIDAD_UNO[[#This Row],[Fin Desarrollo]]="","",IF(ISBLANK(VLOOKUP(PRIORIDAD_UNO[[#This Row],[Nombre del requerimiento]],'Cálculos Manual'!A:H,8,FALSE)),WORKDAY(PRIORIDAD_UNO[[#This Row],[Fin Desarrollo]],5,FERIADOS[Fecha]), VLOOKUP(PRIORIDAD_UNO[[#This Row],[Nombre del requerimiento]],'Cálculos Manual'!A:H,8,FALSE)))</f>
        <v>46470</v>
      </c>
      <c r="T50"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46542</v>
      </c>
      <c r="U50" s="88">
        <f>IF(PRIORIDAD_UNO[[#This Row],[Fin Calidad]]="","",IF(ISBLANK(VLOOKUP(PRIORIDAD_UNO[[#This Row],[Nombre del requerimiento]],'Cálculos Manual'!A:L,12,FALSE)), WORKDAY(PRIORIDAD_UNO[[#This Row],[Fin Calidad]],5,FERIADOS[Fecha]), VLOOKUP(PRIORIDAD_UNO[[#This Row],[Nombre del requerimiento]],'Cálculos Manual'!A:L,12,FALSE)))</f>
        <v>46552</v>
      </c>
      <c r="V50"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46559</v>
      </c>
      <c r="W50" s="87">
        <f>IFERROR(PRIORIDAD_UNO[[#This Row],[Fin Producción]]-PRIORIDAD_UNO[[#This Row],[Comienzo Desarrollo]],"")</f>
        <v>319</v>
      </c>
      <c r="X50" s="132" t="str">
        <f>IF(ISBLANK(PRIORIDAD_UNO[[#This Row],[Comienzo Desarrollo]]),"Sin Fecha","Con Fecha")</f>
        <v>Con Fecha</v>
      </c>
      <c r="Y50" s="129" t="str">
        <f>IF(PRIORIDAD_UNO[[#This Row],[Esfuerzo Estimado Desarrollo]]="No definido","Sin esfuerzo","Con esfuerzo")</f>
        <v>Con esfuerzo</v>
      </c>
      <c r="Z50"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50" s="240" t="str">
        <f>IF(PRIORIDAD_UNO[[#This Row],[Comienzo Producción]]="","Por Definir",_xlfn.CONCAT(YEAR(PRIORIDAD_UNO[[#This Row],[Comienzo Producción]])," - ", MONTH(PRIORIDAD_UNO[[#This Row],[Comienzo Producción]])))</f>
        <v>2027 - 6</v>
      </c>
      <c r="AB50" s="240" t="s">
        <v>116</v>
      </c>
      <c r="AC50" s="154"/>
    </row>
    <row r="51" spans="1:29" s="29" customFormat="1" ht="33.75" customHeight="1">
      <c r="A51" s="214" t="s">
        <v>258</v>
      </c>
      <c r="B51" s="126">
        <v>1</v>
      </c>
      <c r="C51" s="126">
        <v>3</v>
      </c>
      <c r="D51" s="126" t="s">
        <v>29</v>
      </c>
      <c r="E51"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51" s="126" t="s">
        <v>70</v>
      </c>
      <c r="G51" s="126" t="s">
        <v>259</v>
      </c>
      <c r="H51" s="126" t="s">
        <v>260</v>
      </c>
      <c r="I51" s="125" t="s">
        <v>261</v>
      </c>
      <c r="J51" s="126" t="s">
        <v>35</v>
      </c>
      <c r="K51" s="126" t="s">
        <v>63</v>
      </c>
      <c r="L51" s="126" t="s">
        <v>37</v>
      </c>
      <c r="M51" s="126" t="s">
        <v>151</v>
      </c>
      <c r="N51" s="126" t="s">
        <v>262</v>
      </c>
      <c r="O51" s="126" t="s">
        <v>167</v>
      </c>
      <c r="P51" s="125"/>
      <c r="Q51" s="51">
        <v>46296</v>
      </c>
      <c r="R51"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46395</v>
      </c>
      <c r="S51" s="88">
        <f>IF(PRIORIDAD_UNO[[#This Row],[Fin Desarrollo]]="","",IF(ISBLANK(VLOOKUP(PRIORIDAD_UNO[[#This Row],[Nombre del requerimiento]],'Cálculos Manual'!A:H,8,FALSE)),WORKDAY(PRIORIDAD_UNO[[#This Row],[Fin Desarrollo]],5,FERIADOS[Fecha]), VLOOKUP(PRIORIDAD_UNO[[#This Row],[Nombre del requerimiento]],'Cálculos Manual'!A:H,8,FALSE)))</f>
        <v>46402</v>
      </c>
      <c r="T51"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46458</v>
      </c>
      <c r="U51" s="88">
        <f>IF(PRIORIDAD_UNO[[#This Row],[Fin Calidad]]="","",IF(ISBLANK(VLOOKUP(PRIORIDAD_UNO[[#This Row],[Nombre del requerimiento]],'Cálculos Manual'!A:L,12,FALSE)), WORKDAY(PRIORIDAD_UNO[[#This Row],[Fin Calidad]],5,FERIADOS[Fecha]), VLOOKUP(PRIORIDAD_UNO[[#This Row],[Nombre del requerimiento]],'Cálculos Manual'!A:L,12,FALSE)))</f>
        <v>46465</v>
      </c>
      <c r="V51"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46476</v>
      </c>
      <c r="W51" s="87">
        <f>IFERROR(PRIORIDAD_UNO[[#This Row],[Fin Producción]]-PRIORIDAD_UNO[[#This Row],[Comienzo Desarrollo]],"")</f>
        <v>180</v>
      </c>
      <c r="X51" s="132" t="str">
        <f>IF(ISBLANK(PRIORIDAD_UNO[[#This Row],[Comienzo Desarrollo]]),"Sin Fecha","Con Fecha")</f>
        <v>Con Fecha</v>
      </c>
      <c r="Y51" s="129" t="str">
        <f>IF(PRIORIDAD_UNO[[#This Row],[Esfuerzo Estimado Desarrollo]]="No definido","Sin esfuerzo","Con esfuerzo")</f>
        <v>Con esfuerzo</v>
      </c>
      <c r="Z51"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51" s="240" t="str">
        <f>IF(PRIORIDAD_UNO[[#This Row],[Comienzo Producción]]="","Por Definir",_xlfn.CONCAT(YEAR(PRIORIDAD_UNO[[#This Row],[Comienzo Producción]])," - ", MONTH(PRIORIDAD_UNO[[#This Row],[Comienzo Producción]])))</f>
        <v>2027 - 3</v>
      </c>
      <c r="AB51" s="240" t="s">
        <v>116</v>
      </c>
      <c r="AC51" s="154"/>
    </row>
    <row r="52" spans="1:29" s="29" customFormat="1" ht="33.75" customHeight="1">
      <c r="A52" s="214" t="s">
        <v>263</v>
      </c>
      <c r="B52" s="126">
        <v>1</v>
      </c>
      <c r="C52" s="126">
        <v>38</v>
      </c>
      <c r="D52" s="126" t="s">
        <v>226</v>
      </c>
      <c r="E52"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Extra Grande</v>
      </c>
      <c r="F52" s="126" t="s">
        <v>66</v>
      </c>
      <c r="G52" s="126" t="s">
        <v>119</v>
      </c>
      <c r="H52" s="126" t="s">
        <v>135</v>
      </c>
      <c r="I52" s="125" t="s">
        <v>264</v>
      </c>
      <c r="J52" s="126" t="s">
        <v>35</v>
      </c>
      <c r="K52" s="126" t="s">
        <v>54</v>
      </c>
      <c r="L52" s="126" t="s">
        <v>37</v>
      </c>
      <c r="M52" s="126" t="s">
        <v>38</v>
      </c>
      <c r="N52" s="126" t="s">
        <v>189</v>
      </c>
      <c r="O52" s="126" t="s">
        <v>123</v>
      </c>
      <c r="P52" s="125"/>
      <c r="Q52" s="121">
        <v>46566</v>
      </c>
      <c r="R52" s="122">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46794</v>
      </c>
      <c r="S52" s="122">
        <f>IF(PRIORIDAD_UNO[[#This Row],[Fin Desarrollo]]="","",IF(ISBLANK(VLOOKUP(PRIORIDAD_UNO[[#This Row],[Nombre del requerimiento]],'Cálculos Manual'!A:H,8,FALSE)),WORKDAY(PRIORIDAD_UNO[[#This Row],[Fin Desarrollo]],5,FERIADOS[Fecha]), VLOOKUP(PRIORIDAD_UNO[[#This Row],[Nombre del requerimiento]],'Cálculos Manual'!A:H,8,FALSE)))</f>
        <v>46801</v>
      </c>
      <c r="T52" s="122">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46871</v>
      </c>
      <c r="U52" s="122">
        <f>IF(PRIORIDAD_UNO[[#This Row],[Fin Calidad]]="","",IF(ISBLANK(VLOOKUP(PRIORIDAD_UNO[[#This Row],[Nombre del requerimiento]],'Cálculos Manual'!A:L,12,FALSE)), WORKDAY(PRIORIDAD_UNO[[#This Row],[Fin Calidad]],5,FERIADOS[Fecha]), VLOOKUP(PRIORIDAD_UNO[[#This Row],[Nombre del requerimiento]],'Cálculos Manual'!A:L,12,FALSE)))</f>
        <v>46878</v>
      </c>
      <c r="V52" s="122">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46885</v>
      </c>
      <c r="W52" s="38">
        <f>IFERROR(PRIORIDAD_UNO[[#This Row],[Fin Producción]]-PRIORIDAD_UNO[[#This Row],[Comienzo Desarrollo]],"")</f>
        <v>319</v>
      </c>
      <c r="X52" s="132" t="str">
        <f>IF(ISBLANK(PRIORIDAD_UNO[[#This Row],[Comienzo Desarrollo]]),"Sin Fecha","Con Fecha")</f>
        <v>Con Fecha</v>
      </c>
      <c r="Y52" s="129" t="str">
        <f>IF(PRIORIDAD_UNO[[#This Row],[Esfuerzo Estimado Desarrollo]]="No definido","Sin esfuerzo","Con esfuerzo")</f>
        <v>Con esfuerzo</v>
      </c>
      <c r="Z52"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52" s="240" t="str">
        <f>IF(PRIORIDAD_UNO[[#This Row],[Comienzo Producción]]="","Por Definir",_xlfn.CONCAT(YEAR(PRIORIDAD_UNO[[#This Row],[Comienzo Producción]])," - ", MONTH(PRIORIDAD_UNO[[#This Row],[Comienzo Producción]])))</f>
        <v>2028 - 5</v>
      </c>
      <c r="AB52" s="240">
        <v>3244</v>
      </c>
      <c r="AC52" s="154"/>
    </row>
    <row r="53" spans="1:29" s="29" customFormat="1" ht="33.75" customHeight="1">
      <c r="A53" s="214" t="s">
        <v>265</v>
      </c>
      <c r="B53" s="30">
        <v>1</v>
      </c>
      <c r="C53" s="30">
        <v>23</v>
      </c>
      <c r="D53" s="31" t="s">
        <v>226</v>
      </c>
      <c r="E53"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Extra Grande</v>
      </c>
      <c r="F53" s="30" t="s">
        <v>66</v>
      </c>
      <c r="G53" s="30" t="s">
        <v>157</v>
      </c>
      <c r="H53" s="30" t="s">
        <v>158</v>
      </c>
      <c r="I53" s="32" t="s">
        <v>266</v>
      </c>
      <c r="J53" s="101" t="s">
        <v>35</v>
      </c>
      <c r="K53" s="31" t="s">
        <v>36</v>
      </c>
      <c r="L53" s="31" t="s">
        <v>37</v>
      </c>
      <c r="M53" s="31" t="s">
        <v>151</v>
      </c>
      <c r="N53" s="31" t="s">
        <v>267</v>
      </c>
      <c r="O53" s="31" t="s">
        <v>123</v>
      </c>
      <c r="P53" s="112" t="s">
        <v>268</v>
      </c>
      <c r="Q53" s="121">
        <v>46272</v>
      </c>
      <c r="R53"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46497</v>
      </c>
      <c r="S53" s="88">
        <f>IF(PRIORIDAD_UNO[[#This Row],[Fin Desarrollo]]="","",IF(ISBLANK(VLOOKUP(PRIORIDAD_UNO[[#This Row],[Nombre del requerimiento]],'Cálculos Manual'!A:H,8,FALSE)),WORKDAY(PRIORIDAD_UNO[[#This Row],[Fin Desarrollo]],5,FERIADOS[Fecha]), VLOOKUP(PRIORIDAD_UNO[[#This Row],[Nombre del requerimiento]],'Cálculos Manual'!A:H,8,FALSE)))</f>
        <v>46504</v>
      </c>
      <c r="T53"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46576</v>
      </c>
      <c r="U53" s="88">
        <f>IF(PRIORIDAD_UNO[[#This Row],[Fin Calidad]]="","",IF(ISBLANK(VLOOKUP(PRIORIDAD_UNO[[#This Row],[Nombre del requerimiento]],'Cálculos Manual'!A:L,12,FALSE)), WORKDAY(PRIORIDAD_UNO[[#This Row],[Fin Calidad]],5,FERIADOS[Fecha]), VLOOKUP(PRIORIDAD_UNO[[#This Row],[Nombre del requerimiento]],'Cálculos Manual'!A:L,12,FALSE)))</f>
        <v>46583</v>
      </c>
      <c r="V53"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46590</v>
      </c>
      <c r="W53" s="87">
        <f>IFERROR(PRIORIDAD_UNO[[#This Row],[Fin Producción]]-PRIORIDAD_UNO[[#This Row],[Comienzo Desarrollo]],"")</f>
        <v>318</v>
      </c>
      <c r="X53" s="132" t="str">
        <f>IF(ISBLANK(PRIORIDAD_UNO[[#This Row],[Comienzo Desarrollo]]),"Sin Fecha","Con Fecha")</f>
        <v>Con Fecha</v>
      </c>
      <c r="Y53" s="129" t="str">
        <f>IF(PRIORIDAD_UNO[[#This Row],[Esfuerzo Estimado Desarrollo]]="No definido","Sin esfuerzo","Con esfuerzo")</f>
        <v>Con esfuerzo</v>
      </c>
      <c r="Z53"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53" s="240" t="str">
        <f>IF(PRIORIDAD_UNO[[#This Row],[Comienzo Producción]]="","Por Definir",_xlfn.CONCAT(YEAR(PRIORIDAD_UNO[[#This Row],[Comienzo Producción]])," - ", MONTH(PRIORIDAD_UNO[[#This Row],[Comienzo Producción]])))</f>
        <v>2027 - 7</v>
      </c>
      <c r="AB53" s="240">
        <v>3238</v>
      </c>
      <c r="AC53" s="154"/>
    </row>
    <row r="54" spans="1:29" s="29" customFormat="1" ht="33.75" customHeight="1">
      <c r="A54" s="214" t="s">
        <v>269</v>
      </c>
      <c r="B54" s="126">
        <v>1</v>
      </c>
      <c r="C54" s="126">
        <v>9</v>
      </c>
      <c r="D54" s="126" t="s">
        <v>29</v>
      </c>
      <c r="E54"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54" s="126" t="s">
        <v>68</v>
      </c>
      <c r="G54" s="126" t="s">
        <v>129</v>
      </c>
      <c r="H54" s="126" t="s">
        <v>130</v>
      </c>
      <c r="I54" s="125" t="s">
        <v>60</v>
      </c>
      <c r="J54" s="126" t="s">
        <v>35</v>
      </c>
      <c r="K54" s="126" t="s">
        <v>63</v>
      </c>
      <c r="L54" s="126" t="s">
        <v>37</v>
      </c>
      <c r="M54" s="126" t="s">
        <v>38</v>
      </c>
      <c r="N54" s="126" t="s">
        <v>131</v>
      </c>
      <c r="O54" s="126" t="s">
        <v>132</v>
      </c>
      <c r="P54" s="125"/>
      <c r="Q54" s="51">
        <v>46237</v>
      </c>
      <c r="R54"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46331</v>
      </c>
      <c r="S54" s="88">
        <f>IF(PRIORIDAD_UNO[[#This Row],[Fin Desarrollo]]="","",IF(ISBLANK(VLOOKUP(PRIORIDAD_UNO[[#This Row],[Nombre del requerimiento]],'Cálculos Manual'!A:H,8,FALSE)),WORKDAY(PRIORIDAD_UNO[[#This Row],[Fin Desarrollo]],5,FERIADOS[Fecha]), VLOOKUP(PRIORIDAD_UNO[[#This Row],[Nombre del requerimiento]],'Cálculos Manual'!A:H,8,FALSE)))</f>
        <v>46338</v>
      </c>
      <c r="T54"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46400</v>
      </c>
      <c r="U54" s="88">
        <f>IF(PRIORIDAD_UNO[[#This Row],[Fin Calidad]]="","",IF(ISBLANK(VLOOKUP(PRIORIDAD_UNO[[#This Row],[Nombre del requerimiento]],'Cálculos Manual'!A:L,12,FALSE)), WORKDAY(PRIORIDAD_UNO[[#This Row],[Fin Calidad]],5,FERIADOS[Fecha]), VLOOKUP(PRIORIDAD_UNO[[#This Row],[Nombre del requerimiento]],'Cálculos Manual'!A:L,12,FALSE)))</f>
        <v>46407</v>
      </c>
      <c r="V54"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46414</v>
      </c>
      <c r="W54" s="87">
        <f>IFERROR(PRIORIDAD_UNO[[#This Row],[Fin Producción]]-PRIORIDAD_UNO[[#This Row],[Comienzo Desarrollo]],"")</f>
        <v>177</v>
      </c>
      <c r="X54" s="132" t="str">
        <f>IF(ISBLANK(PRIORIDAD_UNO[[#This Row],[Comienzo Desarrollo]]),"Sin Fecha","Con Fecha")</f>
        <v>Con Fecha</v>
      </c>
      <c r="Y54" s="129" t="str">
        <f>IF(PRIORIDAD_UNO[[#This Row],[Esfuerzo Estimado Desarrollo]]="No definido","Sin esfuerzo","Con esfuerzo")</f>
        <v>Con esfuerzo</v>
      </c>
      <c r="Z54"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54" s="240" t="str">
        <f>IF(PRIORIDAD_UNO[[#This Row],[Comienzo Producción]]="","Por Definir",_xlfn.CONCAT(YEAR(PRIORIDAD_UNO[[#This Row],[Comienzo Producción]])," - ", MONTH(PRIORIDAD_UNO[[#This Row],[Comienzo Producción]])))</f>
        <v>2027 - 1</v>
      </c>
      <c r="AB54" s="240" t="s">
        <v>116</v>
      </c>
      <c r="AC54" s="154"/>
    </row>
    <row r="55" spans="1:29" s="29" customFormat="1" ht="33.75" customHeight="1">
      <c r="A55" s="214" t="s">
        <v>270</v>
      </c>
      <c r="B55" s="126">
        <v>1</v>
      </c>
      <c r="C55" s="126">
        <v>2</v>
      </c>
      <c r="D55" s="126" t="s">
        <v>113</v>
      </c>
      <c r="E55"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55" s="126" t="s">
        <v>68</v>
      </c>
      <c r="G55" s="126" t="s">
        <v>129</v>
      </c>
      <c r="H55" s="126" t="s">
        <v>204</v>
      </c>
      <c r="I55" s="125" t="s">
        <v>205</v>
      </c>
      <c r="J55" s="155" t="s">
        <v>35</v>
      </c>
      <c r="K55" s="126" t="s">
        <v>36</v>
      </c>
      <c r="L55" s="126" t="s">
        <v>37</v>
      </c>
      <c r="M55" s="126" t="s">
        <v>38</v>
      </c>
      <c r="N55" s="126" t="s">
        <v>131</v>
      </c>
      <c r="O55" s="126" t="s">
        <v>132</v>
      </c>
      <c r="P55" s="125"/>
      <c r="Q55" s="51">
        <v>46237</v>
      </c>
      <c r="R55"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46280</v>
      </c>
      <c r="S55" s="88">
        <f>IF(PRIORIDAD_UNO[[#This Row],[Fin Desarrollo]]="","",IF(ISBLANK(VLOOKUP(PRIORIDAD_UNO[[#This Row],[Nombre del requerimiento]],'Cálculos Manual'!A:H,8,FALSE)),WORKDAY(PRIORIDAD_UNO[[#This Row],[Fin Desarrollo]],5,FERIADOS[Fecha]), VLOOKUP(PRIORIDAD_UNO[[#This Row],[Nombre del requerimiento]],'Cálculos Manual'!A:H,8,FALSE)))</f>
        <v>46287</v>
      </c>
      <c r="T55"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46330</v>
      </c>
      <c r="U55" s="88">
        <f>IF(PRIORIDAD_UNO[[#This Row],[Fin Calidad]]="","",IF(ISBLANK(VLOOKUP(PRIORIDAD_UNO[[#This Row],[Nombre del requerimiento]],'Cálculos Manual'!A:L,12,FALSE)), WORKDAY(PRIORIDAD_UNO[[#This Row],[Fin Calidad]],5,FERIADOS[Fecha]), VLOOKUP(PRIORIDAD_UNO[[#This Row],[Nombre del requerimiento]],'Cálculos Manual'!A:L,12,FALSE)))</f>
        <v>46337</v>
      </c>
      <c r="V55"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46344</v>
      </c>
      <c r="W55" s="87">
        <f>IFERROR(PRIORIDAD_UNO[[#This Row],[Fin Producción]]-PRIORIDAD_UNO[[#This Row],[Comienzo Desarrollo]],"")</f>
        <v>107</v>
      </c>
      <c r="X55" s="132" t="str">
        <f>IF(ISBLANK(PRIORIDAD_UNO[[#This Row],[Comienzo Desarrollo]]),"Sin Fecha","Con Fecha")</f>
        <v>Con Fecha</v>
      </c>
      <c r="Y55" s="129" t="str">
        <f>IF(PRIORIDAD_UNO[[#This Row],[Esfuerzo Estimado Desarrollo]]="No definido","Sin esfuerzo","Con esfuerzo")</f>
        <v>Con esfuerzo</v>
      </c>
      <c r="Z55" s="158" t="str">
        <f ca="1">IF(ISBLANK(PRIORIDAD_UNO[[#This Row],[Comienzo Desarrollo]]),"🔵 Sin Fecha",
IF(PRIORIDAD_UNO[[#This Row],[Comienzo Desarrollo]]&lt;TODAY(),"🔴 Vencido",
IF(PRIORIDAD_UNO[[#This Row],[Comienzo Desarrollo]]=TODAY(),"🟡 Vence hoy",
IF((PRIORIDAD_UNO[[#This Row],[Comienzo Desarrollo]]-TODAY())&lt;=5,"🟠 Por vencer",
"🟢 A tiempo"))))</f>
        <v>🟢 A tiempo</v>
      </c>
      <c r="AA55" s="240" t="str">
        <f>IF(PRIORIDAD_UNO[[#This Row],[Comienzo Producción]]="","Por Definir",_xlfn.CONCAT(YEAR(PRIORIDAD_UNO[[#This Row],[Comienzo Producción]])," - ", MONTH(PRIORIDAD_UNO[[#This Row],[Comienzo Producción]])))</f>
        <v>2026 - 11</v>
      </c>
      <c r="AB55" s="240">
        <v>3253</v>
      </c>
      <c r="AC55" s="154"/>
    </row>
    <row r="56" spans="1:29" s="29" customFormat="1" ht="33.75" customHeight="1">
      <c r="A56" s="215" t="s">
        <v>271</v>
      </c>
      <c r="B56" s="126">
        <v>1</v>
      </c>
      <c r="C56" s="126">
        <v>3</v>
      </c>
      <c r="D56" s="126" t="s">
        <v>46</v>
      </c>
      <c r="E56"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56" s="126" t="s">
        <v>31</v>
      </c>
      <c r="G56" s="126" t="s">
        <v>32</v>
      </c>
      <c r="H56" s="126" t="s">
        <v>141</v>
      </c>
      <c r="I56" s="125" t="s">
        <v>142</v>
      </c>
      <c r="J56" s="126" t="s">
        <v>35</v>
      </c>
      <c r="K56" s="126" t="s">
        <v>36</v>
      </c>
      <c r="L56" s="126" t="s">
        <v>37</v>
      </c>
      <c r="M56" s="126" t="s">
        <v>38</v>
      </c>
      <c r="N56" s="126" t="s">
        <v>50</v>
      </c>
      <c r="O56" s="126" t="s">
        <v>40</v>
      </c>
      <c r="P56" s="125" t="s">
        <v>105</v>
      </c>
      <c r="Q56" s="51">
        <v>46235</v>
      </c>
      <c r="R56"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46398</v>
      </c>
      <c r="S56" s="88">
        <f>IF(PRIORIDAD_UNO[[#This Row],[Fin Desarrollo]]="","",IF(ISBLANK(VLOOKUP(PRIORIDAD_UNO[[#This Row],[Nombre del requerimiento]],'Cálculos Manual'!A:H,8,FALSE)),WORKDAY(PRIORIDAD_UNO[[#This Row],[Fin Desarrollo]],5,FERIADOS[Fecha]), VLOOKUP(PRIORIDAD_UNO[[#This Row],[Nombre del requerimiento]],'Cálculos Manual'!A:H,8,FALSE)))</f>
        <v>46405</v>
      </c>
      <c r="T56"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46477</v>
      </c>
      <c r="U56" s="88">
        <f>IF(PRIORIDAD_UNO[[#This Row],[Fin Calidad]]="","",IF(ISBLANK(VLOOKUP(PRIORIDAD_UNO[[#This Row],[Nombre del requerimiento]],'Cálculos Manual'!A:L,12,FALSE)), WORKDAY(PRIORIDAD_UNO[[#This Row],[Fin Calidad]],5,FERIADOS[Fecha]), VLOOKUP(PRIORIDAD_UNO[[#This Row],[Nombre del requerimiento]],'Cálculos Manual'!A:L,12,FALSE)))</f>
        <v>46484</v>
      </c>
      <c r="V56"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46498</v>
      </c>
      <c r="W56" s="87">
        <f>IFERROR(PRIORIDAD_UNO[[#This Row],[Fin Producción]]-PRIORIDAD_UNO[[#This Row],[Comienzo Desarrollo]],"")</f>
        <v>263</v>
      </c>
      <c r="X56" s="132" t="str">
        <f>IF(ISBLANK(PRIORIDAD_UNO[[#This Row],[Comienzo Desarrollo]]),"Sin Fecha","Con Fecha")</f>
        <v>Con Fecha</v>
      </c>
      <c r="Y56" s="129" t="str">
        <f>IF(PRIORIDAD_UNO[[#This Row],[Esfuerzo Estimado Desarrollo]]="No definido","Sin esfuerzo","Con esfuerzo")</f>
        <v>Con esfuerzo</v>
      </c>
      <c r="Z56"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56" s="240" t="str">
        <f>IF(PRIORIDAD_UNO[[#This Row],[Comienzo Producción]]="","Por Definir",_xlfn.CONCAT(YEAR(PRIORIDAD_UNO[[#This Row],[Comienzo Producción]])," - ", MONTH(PRIORIDAD_UNO[[#This Row],[Comienzo Producción]])))</f>
        <v>2027 - 4</v>
      </c>
      <c r="AB56" s="240">
        <v>3198</v>
      </c>
      <c r="AC56" s="154"/>
    </row>
    <row r="57" spans="1:29" s="29" customFormat="1" ht="33.75" customHeight="1">
      <c r="A57" s="215" t="s">
        <v>272</v>
      </c>
      <c r="B57" s="126">
        <v>1</v>
      </c>
      <c r="C57" s="126">
        <v>3</v>
      </c>
      <c r="D57" s="126" t="s">
        <v>46</v>
      </c>
      <c r="E57"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57" s="126" t="s">
        <v>31</v>
      </c>
      <c r="G57" s="126" t="s">
        <v>32</v>
      </c>
      <c r="H57" s="126" t="s">
        <v>141</v>
      </c>
      <c r="I57" s="125" t="s">
        <v>142</v>
      </c>
      <c r="J57" s="126" t="s">
        <v>35</v>
      </c>
      <c r="K57" s="126" t="s">
        <v>36</v>
      </c>
      <c r="L57" s="126" t="s">
        <v>37</v>
      </c>
      <c r="M57" s="126" t="s">
        <v>38</v>
      </c>
      <c r="N57" s="126" t="s">
        <v>50</v>
      </c>
      <c r="O57" s="126" t="s">
        <v>40</v>
      </c>
      <c r="P57" s="125" t="s">
        <v>105</v>
      </c>
      <c r="Q57" s="51">
        <v>46235</v>
      </c>
      <c r="R57"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46398</v>
      </c>
      <c r="S57" s="88">
        <f>IF(PRIORIDAD_UNO[[#This Row],[Fin Desarrollo]]="","",IF(ISBLANK(VLOOKUP(PRIORIDAD_UNO[[#This Row],[Nombre del requerimiento]],'Cálculos Manual'!A:H,8,FALSE)),WORKDAY(PRIORIDAD_UNO[[#This Row],[Fin Desarrollo]],5,FERIADOS[Fecha]), VLOOKUP(PRIORIDAD_UNO[[#This Row],[Nombre del requerimiento]],'Cálculos Manual'!A:H,8,FALSE)))</f>
        <v>46405</v>
      </c>
      <c r="T57"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46477</v>
      </c>
      <c r="U57" s="88">
        <f>IF(PRIORIDAD_UNO[[#This Row],[Fin Calidad]]="","",IF(ISBLANK(VLOOKUP(PRIORIDAD_UNO[[#This Row],[Nombre del requerimiento]],'Cálculos Manual'!A:L,12,FALSE)), WORKDAY(PRIORIDAD_UNO[[#This Row],[Fin Calidad]],5,FERIADOS[Fecha]), VLOOKUP(PRIORIDAD_UNO[[#This Row],[Nombre del requerimiento]],'Cálculos Manual'!A:L,12,FALSE)))</f>
        <v>46484</v>
      </c>
      <c r="V57"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46498</v>
      </c>
      <c r="W57" s="87">
        <f>IFERROR(PRIORIDAD_UNO[[#This Row],[Fin Producción]]-PRIORIDAD_UNO[[#This Row],[Comienzo Desarrollo]],"")</f>
        <v>263</v>
      </c>
      <c r="X57" s="132" t="str">
        <f>IF(ISBLANK(PRIORIDAD_UNO[[#This Row],[Comienzo Desarrollo]]),"Sin Fecha","Con Fecha")</f>
        <v>Con Fecha</v>
      </c>
      <c r="Y57" s="129" t="str">
        <f>IF(PRIORIDAD_UNO[[#This Row],[Esfuerzo Estimado Desarrollo]]="No definido","Sin esfuerzo","Con esfuerzo")</f>
        <v>Con esfuerzo</v>
      </c>
      <c r="Z57"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57" s="240" t="str">
        <f>IF(PRIORIDAD_UNO[[#This Row],[Comienzo Producción]]="","Por Definir",_xlfn.CONCAT(YEAR(PRIORIDAD_UNO[[#This Row],[Comienzo Producción]])," - ", MONTH(PRIORIDAD_UNO[[#This Row],[Comienzo Producción]])))</f>
        <v>2027 - 4</v>
      </c>
      <c r="AB57" s="240">
        <v>3199</v>
      </c>
      <c r="AC57" s="154"/>
    </row>
    <row r="58" spans="1:29" s="29" customFormat="1" ht="33.75" customHeight="1">
      <c r="A58" s="214" t="s">
        <v>273</v>
      </c>
      <c r="B58" s="126">
        <v>1</v>
      </c>
      <c r="C58" s="126">
        <v>2</v>
      </c>
      <c r="D58" s="126" t="s">
        <v>46</v>
      </c>
      <c r="E58"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58" s="126" t="s">
        <v>65</v>
      </c>
      <c r="G58" s="126" t="s">
        <v>274</v>
      </c>
      <c r="H58" s="126" t="s">
        <v>275</v>
      </c>
      <c r="I58" s="125" t="s">
        <v>276</v>
      </c>
      <c r="J58" s="126" t="s">
        <v>35</v>
      </c>
      <c r="K58" s="126" t="s">
        <v>63</v>
      </c>
      <c r="L58" s="126" t="s">
        <v>37</v>
      </c>
      <c r="M58" s="126" t="s">
        <v>38</v>
      </c>
      <c r="N58" s="126" t="s">
        <v>166</v>
      </c>
      <c r="O58" s="126" t="s">
        <v>153</v>
      </c>
      <c r="P58" s="125"/>
      <c r="Q58" s="51">
        <v>46237</v>
      </c>
      <c r="R58"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46399</v>
      </c>
      <c r="S58" s="88">
        <f>IF(PRIORIDAD_UNO[[#This Row],[Fin Desarrollo]]="","",IF(ISBLANK(VLOOKUP(PRIORIDAD_UNO[[#This Row],[Nombre del requerimiento]],'Cálculos Manual'!A:H,8,FALSE)),WORKDAY(PRIORIDAD_UNO[[#This Row],[Fin Desarrollo]],5,FERIADOS[Fecha]), VLOOKUP(PRIORIDAD_UNO[[#This Row],[Nombre del requerimiento]],'Cálculos Manual'!A:H,8,FALSE)))</f>
        <v>46406</v>
      </c>
      <c r="T58"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46478</v>
      </c>
      <c r="U58" s="88">
        <f>IF(PRIORIDAD_UNO[[#This Row],[Fin Calidad]]="","",IF(ISBLANK(VLOOKUP(PRIORIDAD_UNO[[#This Row],[Nombre del requerimiento]],'Cálculos Manual'!A:L,12,FALSE)), WORKDAY(PRIORIDAD_UNO[[#This Row],[Fin Calidad]],5,FERIADOS[Fecha]), VLOOKUP(PRIORIDAD_UNO[[#This Row],[Nombre del requerimiento]],'Cálculos Manual'!A:L,12,FALSE)))</f>
        <v>46485</v>
      </c>
      <c r="V58"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46499</v>
      </c>
      <c r="W58" s="87">
        <f>IFERROR(PRIORIDAD_UNO[[#This Row],[Fin Producción]]-PRIORIDAD_UNO[[#This Row],[Comienzo Desarrollo]],"")</f>
        <v>262</v>
      </c>
      <c r="X58" s="132" t="str">
        <f>IF(ISBLANK(PRIORIDAD_UNO[[#This Row],[Comienzo Desarrollo]]),"Sin Fecha","Con Fecha")</f>
        <v>Con Fecha</v>
      </c>
      <c r="Y58" s="129" t="str">
        <f>IF(PRIORIDAD_UNO[[#This Row],[Esfuerzo Estimado Desarrollo]]="No definido","Sin esfuerzo","Con esfuerzo")</f>
        <v>Con esfuerzo</v>
      </c>
      <c r="Z58"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58" s="240" t="str">
        <f>IF(PRIORIDAD_UNO[[#This Row],[Comienzo Producción]]="","Por Definir",_xlfn.CONCAT(YEAR(PRIORIDAD_UNO[[#This Row],[Comienzo Producción]])," - ", MONTH(PRIORIDAD_UNO[[#This Row],[Comienzo Producción]])))</f>
        <v>2027 - 4</v>
      </c>
      <c r="AB58" s="240">
        <v>3352</v>
      </c>
      <c r="AC58" s="154"/>
    </row>
    <row r="59" spans="1:29" s="29" customFormat="1" ht="33.75" customHeight="1">
      <c r="A59" s="214" t="s">
        <v>277</v>
      </c>
      <c r="B59" s="126">
        <v>1</v>
      </c>
      <c r="C59" s="126">
        <v>34</v>
      </c>
      <c r="D59" s="126" t="s">
        <v>162</v>
      </c>
      <c r="E59"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59" s="126" t="s">
        <v>66</v>
      </c>
      <c r="G59" s="126" t="s">
        <v>119</v>
      </c>
      <c r="H59" s="126" t="s">
        <v>278</v>
      </c>
      <c r="I59" s="125" t="s">
        <v>279</v>
      </c>
      <c r="J59" s="126" t="s">
        <v>35</v>
      </c>
      <c r="K59" s="126" t="s">
        <v>62</v>
      </c>
      <c r="L59" s="126" t="s">
        <v>37</v>
      </c>
      <c r="M59" s="126" t="s">
        <v>38</v>
      </c>
      <c r="N59" s="126" t="s">
        <v>280</v>
      </c>
      <c r="O59" s="126" t="s">
        <v>123</v>
      </c>
      <c r="P59" s="125"/>
      <c r="Q59" s="51">
        <v>46237</v>
      </c>
      <c r="R59"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46331</v>
      </c>
      <c r="S59" s="88">
        <f>IF(PRIORIDAD_UNO[[#This Row],[Fin Desarrollo]]="","",IF(ISBLANK(VLOOKUP(PRIORIDAD_UNO[[#This Row],[Nombre del requerimiento]],'Cálculos Manual'!A:H,8,FALSE)),WORKDAY(PRIORIDAD_UNO[[#This Row],[Fin Desarrollo]],5,FERIADOS[Fecha]), VLOOKUP(PRIORIDAD_UNO[[#This Row],[Nombre del requerimiento]],'Cálculos Manual'!A:H,8,FALSE)))</f>
        <v>46338</v>
      </c>
      <c r="T59"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46400</v>
      </c>
      <c r="U59" s="88">
        <f>IF(PRIORIDAD_UNO[[#This Row],[Fin Calidad]]="","",IF(ISBLANK(VLOOKUP(PRIORIDAD_UNO[[#This Row],[Nombre del requerimiento]],'Cálculos Manual'!A:L,12,FALSE)), WORKDAY(PRIORIDAD_UNO[[#This Row],[Fin Calidad]],5,FERIADOS[Fecha]), VLOOKUP(PRIORIDAD_UNO[[#This Row],[Nombre del requerimiento]],'Cálculos Manual'!A:L,12,FALSE)))</f>
        <v>46407</v>
      </c>
      <c r="V59"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46414</v>
      </c>
      <c r="W59" s="87">
        <f>IFERROR(PRIORIDAD_UNO[[#This Row],[Fin Producción]]-PRIORIDAD_UNO[[#This Row],[Comienzo Desarrollo]],"")</f>
        <v>177</v>
      </c>
      <c r="X59" s="132" t="str">
        <f>IF(ISBLANK(PRIORIDAD_UNO[[#This Row],[Comienzo Desarrollo]]),"Sin Fecha","Con Fecha")</f>
        <v>Con Fecha</v>
      </c>
      <c r="Y59" s="129" t="str">
        <f>IF(PRIORIDAD_UNO[[#This Row],[Esfuerzo Estimado Desarrollo]]="No definido","Sin esfuerzo","Con esfuerzo")</f>
        <v>Con esfuerzo</v>
      </c>
      <c r="Z59"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59" s="240" t="str">
        <f>IF(PRIORIDAD_UNO[[#This Row],[Comienzo Producción]]="","Por Definir",_xlfn.CONCAT(YEAR(PRIORIDAD_UNO[[#This Row],[Comienzo Producción]])," - ", MONTH(PRIORIDAD_UNO[[#This Row],[Comienzo Producción]])))</f>
        <v>2027 - 1</v>
      </c>
      <c r="AB59" s="240">
        <v>3235</v>
      </c>
      <c r="AC59" s="154"/>
    </row>
    <row r="60" spans="1:29" s="29" customFormat="1" ht="33.75" customHeight="1">
      <c r="A60" s="215" t="s">
        <v>281</v>
      </c>
      <c r="B60" s="126">
        <v>1</v>
      </c>
      <c r="C60" s="126">
        <v>6</v>
      </c>
      <c r="D60" s="126" t="s">
        <v>29</v>
      </c>
      <c r="E60"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60" s="126" t="s">
        <v>31</v>
      </c>
      <c r="G60" s="126" t="s">
        <v>32</v>
      </c>
      <c r="H60" s="126" t="s">
        <v>33</v>
      </c>
      <c r="I60" s="125" t="s">
        <v>34</v>
      </c>
      <c r="J60" s="155" t="s">
        <v>35</v>
      </c>
      <c r="K60" s="126" t="s">
        <v>49</v>
      </c>
      <c r="L60" s="126" t="s">
        <v>37</v>
      </c>
      <c r="M60" s="126" t="s">
        <v>38</v>
      </c>
      <c r="N60" s="126" t="s">
        <v>50</v>
      </c>
      <c r="O60" s="126" t="s">
        <v>40</v>
      </c>
      <c r="P60" s="163" t="s">
        <v>282</v>
      </c>
      <c r="Q60" s="51">
        <v>46280</v>
      </c>
      <c r="R60"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46377</v>
      </c>
      <c r="S60" s="88">
        <f>IF(PRIORIDAD_UNO[[#This Row],[Fin Desarrollo]]="","",IF(ISBLANK(VLOOKUP(PRIORIDAD_UNO[[#This Row],[Nombre del requerimiento]],'Cálculos Manual'!A:H,8,FALSE)),WORKDAY(PRIORIDAD_UNO[[#This Row],[Fin Desarrollo]],5,FERIADOS[Fecha]), VLOOKUP(PRIORIDAD_UNO[[#This Row],[Nombre del requerimiento]],'Cálculos Manual'!A:H,8,FALSE)))</f>
        <v>46385</v>
      </c>
      <c r="T60"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46442</v>
      </c>
      <c r="U60" s="88">
        <f>IF(PRIORIDAD_UNO[[#This Row],[Fin Calidad]]="","",IF(ISBLANK(VLOOKUP(PRIORIDAD_UNO[[#This Row],[Nombre del requerimiento]],'Cálculos Manual'!A:L,12,FALSE)), WORKDAY(PRIORIDAD_UNO[[#This Row],[Fin Calidad]],5,FERIADOS[Fecha]), VLOOKUP(PRIORIDAD_UNO[[#This Row],[Nombre del requerimiento]],'Cálculos Manual'!A:L,12,FALSE)))</f>
        <v>46449</v>
      </c>
      <c r="V60"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46456</v>
      </c>
      <c r="W60" s="87">
        <f>IFERROR(PRIORIDAD_UNO[[#This Row],[Fin Producción]]-PRIORIDAD_UNO[[#This Row],[Comienzo Desarrollo]],"")</f>
        <v>176</v>
      </c>
      <c r="X60" s="132" t="str">
        <f>IF(ISBLANK(PRIORIDAD_UNO[[#This Row],[Comienzo Desarrollo]]),"Sin Fecha","Con Fecha")</f>
        <v>Con Fecha</v>
      </c>
      <c r="Y60" s="129" t="str">
        <f>IF(PRIORIDAD_UNO[[#This Row],[Esfuerzo Estimado Desarrollo]]="No definido","Sin esfuerzo","Con esfuerzo")</f>
        <v>Con esfuerzo</v>
      </c>
      <c r="Z60"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60" s="240" t="str">
        <f>IF(PRIORIDAD_UNO[[#This Row],[Comienzo Producción]]="","Por Definir",_xlfn.CONCAT(YEAR(PRIORIDAD_UNO[[#This Row],[Comienzo Producción]])," - ", MONTH(PRIORIDAD_UNO[[#This Row],[Comienzo Producción]])))</f>
        <v>2027 - 3</v>
      </c>
      <c r="AB60" s="240">
        <v>3334</v>
      </c>
      <c r="AC60" s="154"/>
    </row>
    <row r="61" spans="1:29" s="29" customFormat="1" ht="33.75" customHeight="1">
      <c r="A61" s="215" t="s">
        <v>283</v>
      </c>
      <c r="B61" s="126">
        <v>1</v>
      </c>
      <c r="C61" s="126">
        <v>1</v>
      </c>
      <c r="D61" s="126" t="s">
        <v>113</v>
      </c>
      <c r="E61"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61" s="126" t="s">
        <v>31</v>
      </c>
      <c r="G61" s="126" t="s">
        <v>32</v>
      </c>
      <c r="H61" s="126" t="s">
        <v>33</v>
      </c>
      <c r="I61" s="125" t="s">
        <v>34</v>
      </c>
      <c r="J61" s="155" t="s">
        <v>35</v>
      </c>
      <c r="K61" s="126" t="s">
        <v>63</v>
      </c>
      <c r="L61" s="126" t="s">
        <v>37</v>
      </c>
      <c r="M61" s="126" t="s">
        <v>55</v>
      </c>
      <c r="N61" s="126" t="s">
        <v>56</v>
      </c>
      <c r="O61" s="126" t="s">
        <v>40</v>
      </c>
      <c r="P61" s="125"/>
      <c r="Q61" s="51">
        <v>46174</v>
      </c>
      <c r="R61"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46217</v>
      </c>
      <c r="S61" s="88">
        <f>IF(PRIORIDAD_UNO[[#This Row],[Fin Desarrollo]]="","",IF(ISBLANK(VLOOKUP(PRIORIDAD_UNO[[#This Row],[Nombre del requerimiento]],'Cálculos Manual'!A:H,8,FALSE)),WORKDAY(PRIORIDAD_UNO[[#This Row],[Fin Desarrollo]],5,FERIADOS[Fecha]), VLOOKUP(PRIORIDAD_UNO[[#This Row],[Nombre del requerimiento]],'Cálculos Manual'!A:H,8,FALSE)))</f>
        <v>46224</v>
      </c>
      <c r="T61"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46272</v>
      </c>
      <c r="U61" s="88">
        <f>IF(PRIORIDAD_UNO[[#This Row],[Fin Calidad]]="","",IF(ISBLANK(VLOOKUP(PRIORIDAD_UNO[[#This Row],[Nombre del requerimiento]],'Cálculos Manual'!A:L,12,FALSE)), WORKDAY(PRIORIDAD_UNO[[#This Row],[Fin Calidad]],5,FERIADOS[Fecha]), VLOOKUP(PRIORIDAD_UNO[[#This Row],[Nombre del requerimiento]],'Cálculos Manual'!A:L,12,FALSE)))</f>
        <v>46279</v>
      </c>
      <c r="V61"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46286</v>
      </c>
      <c r="W61" s="87">
        <f>IFERROR(PRIORIDAD_UNO[[#This Row],[Fin Producción]]-PRIORIDAD_UNO[[#This Row],[Comienzo Desarrollo]],"")</f>
        <v>112</v>
      </c>
      <c r="X61" s="132" t="str">
        <f>IF(ISBLANK(PRIORIDAD_UNO[[#This Row],[Comienzo Desarrollo]]),"Sin Fecha","Con Fecha")</f>
        <v>Con Fecha</v>
      </c>
      <c r="Y61" s="129" t="str">
        <f>IF(PRIORIDAD_UNO[[#This Row],[Esfuerzo Estimado Desarrollo]]="No definido","Sin esfuerzo","Con esfuerzo")</f>
        <v>Con esfuerzo</v>
      </c>
      <c r="Z61" s="226" t="str">
        <f ca="1">IF(ISBLANK(PRIORIDAD_UNO[[#This Row],[Comienzo Desarrollo]]),"🔵 Sin Fecha",
IF(PRIORIDAD_UNO[[#This Row],[Comienzo Desarrollo]]&lt;TODAY(),"🔴 Vencido",
IF(PRIORIDAD_UNO[[#This Row],[Comienzo Desarrollo]]=TODAY(),"🟡 Vence hoy",
IF((PRIORIDAD_UNO[[#This Row],[Comienzo Desarrollo]]-TODAY())&lt;=5,"🟠 Por vencer",
"🟢 A tiempo"))))</f>
        <v>🔴 Vencido</v>
      </c>
      <c r="AA61" s="240" t="str">
        <f>IF(PRIORIDAD_UNO[[#This Row],[Comienzo Producción]]="","Por Definir",_xlfn.CONCAT(YEAR(PRIORIDAD_UNO[[#This Row],[Comienzo Producción]])," - ", MONTH(PRIORIDAD_UNO[[#This Row],[Comienzo Producción]])))</f>
        <v>2026 - 9</v>
      </c>
      <c r="AB61" s="240">
        <v>3325</v>
      </c>
      <c r="AC61" s="154"/>
    </row>
    <row r="62" spans="1:29" s="29" customFormat="1" ht="33.75" customHeight="1">
      <c r="A62" s="214" t="s">
        <v>284</v>
      </c>
      <c r="B62" s="126">
        <v>1</v>
      </c>
      <c r="C62" s="126">
        <v>28</v>
      </c>
      <c r="D62" s="126" t="s">
        <v>162</v>
      </c>
      <c r="E62"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62" s="126" t="s">
        <v>66</v>
      </c>
      <c r="G62" s="126" t="s">
        <v>172</v>
      </c>
      <c r="H62" s="126" t="s">
        <v>285</v>
      </c>
      <c r="I62" s="125" t="s">
        <v>286</v>
      </c>
      <c r="J62" s="126" t="s">
        <v>35</v>
      </c>
      <c r="K62" s="126" t="s">
        <v>54</v>
      </c>
      <c r="L62" s="126" t="s">
        <v>37</v>
      </c>
      <c r="M62" s="126" t="s">
        <v>151</v>
      </c>
      <c r="N62" s="126" t="s">
        <v>287</v>
      </c>
      <c r="O62" s="126" t="s">
        <v>123</v>
      </c>
      <c r="P62" s="125"/>
      <c r="Q62" s="51">
        <v>46209</v>
      </c>
      <c r="R62"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46308</v>
      </c>
      <c r="S62" s="88">
        <f>IF(PRIORIDAD_UNO[[#This Row],[Fin Desarrollo]]="","",IF(ISBLANK(VLOOKUP(PRIORIDAD_UNO[[#This Row],[Nombre del requerimiento]],'Cálculos Manual'!A:H,8,FALSE)),WORKDAY(PRIORIDAD_UNO[[#This Row],[Fin Desarrollo]],5,FERIADOS[Fecha]), VLOOKUP(PRIORIDAD_UNO[[#This Row],[Nombre del requerimiento]],'Cálculos Manual'!A:H,8,FALSE)))</f>
        <v>46315</v>
      </c>
      <c r="T62"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46373</v>
      </c>
      <c r="U62" s="88">
        <f>IF(PRIORIDAD_UNO[[#This Row],[Fin Calidad]]="","",IF(ISBLANK(VLOOKUP(PRIORIDAD_UNO[[#This Row],[Nombre del requerimiento]],'Cálculos Manual'!A:L,12,FALSE)), WORKDAY(PRIORIDAD_UNO[[#This Row],[Fin Calidad]],5,FERIADOS[Fecha]), VLOOKUP(PRIORIDAD_UNO[[#This Row],[Nombre del requerimiento]],'Cálculos Manual'!A:L,12,FALSE)))</f>
        <v>46380</v>
      </c>
      <c r="V62"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46391</v>
      </c>
      <c r="W62" s="87">
        <f>IFERROR(PRIORIDAD_UNO[[#This Row],[Fin Producción]]-PRIORIDAD_UNO[[#This Row],[Comienzo Desarrollo]],"")</f>
        <v>182</v>
      </c>
      <c r="X62" s="132" t="str">
        <f>IF(ISBLANK(PRIORIDAD_UNO[[#This Row],[Comienzo Desarrollo]]),"Sin Fecha","Con Fecha")</f>
        <v>Con Fecha</v>
      </c>
      <c r="Y62" s="129" t="str">
        <f>IF(PRIORIDAD_UNO[[#This Row],[Esfuerzo Estimado Desarrollo]]="No definido","Sin esfuerzo","Con esfuerzo")</f>
        <v>Con esfuerzo</v>
      </c>
      <c r="Z62"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62" s="240" t="str">
        <f>IF(PRIORIDAD_UNO[[#This Row],[Comienzo Producción]]="","Por Definir",_xlfn.CONCAT(YEAR(PRIORIDAD_UNO[[#This Row],[Comienzo Producción]])," - ", MONTH(PRIORIDAD_UNO[[#This Row],[Comienzo Producción]])))</f>
        <v>2026 - 12</v>
      </c>
      <c r="AB62" s="240">
        <v>3228</v>
      </c>
      <c r="AC62" s="154"/>
    </row>
    <row r="63" spans="1:29" s="29" customFormat="1" ht="33.75" customHeight="1">
      <c r="A63" s="215" t="s">
        <v>288</v>
      </c>
      <c r="B63" s="126">
        <v>1</v>
      </c>
      <c r="C63" s="126">
        <v>7</v>
      </c>
      <c r="D63" s="126" t="s">
        <v>29</v>
      </c>
      <c r="E63"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63" s="126" t="s">
        <v>31</v>
      </c>
      <c r="G63" s="126" t="s">
        <v>32</v>
      </c>
      <c r="H63" s="126" t="s">
        <v>141</v>
      </c>
      <c r="I63" s="125" t="s">
        <v>142</v>
      </c>
      <c r="J63" s="126" t="s">
        <v>35</v>
      </c>
      <c r="K63" s="126" t="s">
        <v>36</v>
      </c>
      <c r="L63" s="126" t="s">
        <v>37</v>
      </c>
      <c r="M63" s="126" t="s">
        <v>38</v>
      </c>
      <c r="N63" s="126" t="s">
        <v>50</v>
      </c>
      <c r="O63" s="126" t="s">
        <v>40</v>
      </c>
      <c r="P63" s="125" t="s">
        <v>105</v>
      </c>
      <c r="Q63" s="51">
        <v>46204</v>
      </c>
      <c r="R63"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46302</v>
      </c>
      <c r="S63" s="88">
        <f>IF(PRIORIDAD_UNO[[#This Row],[Fin Desarrollo]]="","",IF(ISBLANK(VLOOKUP(PRIORIDAD_UNO[[#This Row],[Nombre del requerimiento]],'Cálculos Manual'!A:H,8,FALSE)),WORKDAY(PRIORIDAD_UNO[[#This Row],[Fin Desarrollo]],5,FERIADOS[Fecha]), VLOOKUP(PRIORIDAD_UNO[[#This Row],[Nombre del requerimiento]],'Cálculos Manual'!A:H,8,FALSE)))</f>
        <v>46310</v>
      </c>
      <c r="T63"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46370</v>
      </c>
      <c r="U63" s="88">
        <f>IF(PRIORIDAD_UNO[[#This Row],[Fin Calidad]]="","",IF(ISBLANK(VLOOKUP(PRIORIDAD_UNO[[#This Row],[Nombre del requerimiento]],'Cálculos Manual'!A:L,12,FALSE)), WORKDAY(PRIORIDAD_UNO[[#This Row],[Fin Calidad]],5,FERIADOS[Fecha]), VLOOKUP(PRIORIDAD_UNO[[#This Row],[Nombre del requerimiento]],'Cálculos Manual'!A:L,12,FALSE)))</f>
        <v>46377</v>
      </c>
      <c r="V63"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46385</v>
      </c>
      <c r="W63" s="87">
        <f>IFERROR(PRIORIDAD_UNO[[#This Row],[Fin Producción]]-PRIORIDAD_UNO[[#This Row],[Comienzo Desarrollo]],"")</f>
        <v>181</v>
      </c>
      <c r="X63" s="132" t="str">
        <f>IF(ISBLANK(PRIORIDAD_UNO[[#This Row],[Comienzo Desarrollo]]),"Sin Fecha","Con Fecha")</f>
        <v>Con Fecha</v>
      </c>
      <c r="Y63" s="129" t="str">
        <f>IF(PRIORIDAD_UNO[[#This Row],[Esfuerzo Estimado Desarrollo]]="No definido","Sin esfuerzo","Con esfuerzo")</f>
        <v>Con esfuerzo</v>
      </c>
      <c r="Z63"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63" s="240" t="str">
        <f>IF(PRIORIDAD_UNO[[#This Row],[Comienzo Producción]]="","Por Definir",_xlfn.CONCAT(YEAR(PRIORIDAD_UNO[[#This Row],[Comienzo Producción]])," - ", MONTH(PRIORIDAD_UNO[[#This Row],[Comienzo Producción]])))</f>
        <v>2026 - 12</v>
      </c>
      <c r="AB63" s="240">
        <v>3335</v>
      </c>
      <c r="AC63" s="154"/>
    </row>
    <row r="64" spans="1:29" s="29" customFormat="1" ht="33.75" customHeight="1">
      <c r="A64" s="214" t="s">
        <v>289</v>
      </c>
      <c r="B64" s="155">
        <v>1</v>
      </c>
      <c r="C64" s="140">
        <v>1</v>
      </c>
      <c r="D64" s="155" t="s">
        <v>113</v>
      </c>
      <c r="E64"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64" s="155" t="s">
        <v>31</v>
      </c>
      <c r="G64" s="155" t="s">
        <v>32</v>
      </c>
      <c r="H64" s="155" t="s">
        <v>33</v>
      </c>
      <c r="I64" s="125" t="s">
        <v>290</v>
      </c>
      <c r="J64" s="126" t="s">
        <v>35</v>
      </c>
      <c r="K64" s="155" t="s">
        <v>54</v>
      </c>
      <c r="L64" s="155" t="s">
        <v>37</v>
      </c>
      <c r="M64" s="155" t="s">
        <v>38</v>
      </c>
      <c r="N64" s="155" t="s">
        <v>291</v>
      </c>
      <c r="O64" s="155" t="s">
        <v>40</v>
      </c>
      <c r="P64" s="159"/>
      <c r="Q64" s="50">
        <v>46237</v>
      </c>
      <c r="R64"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46280</v>
      </c>
      <c r="S64" s="88">
        <f>IF(PRIORIDAD_UNO[[#This Row],[Fin Desarrollo]]="","",IF(ISBLANK(VLOOKUP(PRIORIDAD_UNO[[#This Row],[Nombre del requerimiento]],'Cálculos Manual'!A:H,8,FALSE)),WORKDAY(PRIORIDAD_UNO[[#This Row],[Fin Desarrollo]],5,FERIADOS[Fecha]), VLOOKUP(PRIORIDAD_UNO[[#This Row],[Nombre del requerimiento]],'Cálculos Manual'!A:H,8,FALSE)))</f>
        <v>46287</v>
      </c>
      <c r="T64"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46330</v>
      </c>
      <c r="U64" s="88">
        <f>IF(PRIORIDAD_UNO[[#This Row],[Fin Calidad]]="","",IF(ISBLANK(VLOOKUP(PRIORIDAD_UNO[[#This Row],[Nombre del requerimiento]],'Cálculos Manual'!A:L,12,FALSE)), WORKDAY(PRIORIDAD_UNO[[#This Row],[Fin Calidad]],5,FERIADOS[Fecha]), VLOOKUP(PRIORIDAD_UNO[[#This Row],[Nombre del requerimiento]],'Cálculos Manual'!A:L,12,FALSE)))</f>
        <v>46337</v>
      </c>
      <c r="V64"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46344</v>
      </c>
      <c r="W64" s="87">
        <f>IFERROR(PRIORIDAD_UNO[[#This Row],[Fin Producción]]-PRIORIDAD_UNO[[#This Row],[Comienzo Desarrollo]],"")</f>
        <v>107</v>
      </c>
      <c r="X64" s="132" t="str">
        <f>IF(ISBLANK(PRIORIDAD_UNO[[#This Row],[Comienzo Desarrollo]]),"Sin Fecha","Con Fecha")</f>
        <v>Con Fecha</v>
      </c>
      <c r="Y64" s="129" t="str">
        <f>IF(PRIORIDAD_UNO[[#This Row],[Esfuerzo Estimado Desarrollo]]="No definido","Sin esfuerzo","Con esfuerzo")</f>
        <v>Con esfuerzo</v>
      </c>
      <c r="Z64"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64" s="240" t="str">
        <f>IF(PRIORIDAD_UNO[[#This Row],[Comienzo Producción]]="","Por Definir",_xlfn.CONCAT(YEAR(PRIORIDAD_UNO[[#This Row],[Comienzo Producción]])," - ", MONTH(PRIORIDAD_UNO[[#This Row],[Comienzo Producción]])))</f>
        <v>2026 - 11</v>
      </c>
      <c r="AB64" s="240">
        <v>3351</v>
      </c>
      <c r="AC64" s="154"/>
    </row>
    <row r="65" spans="1:29" s="29" customFormat="1" ht="33.75" customHeight="1">
      <c r="A65" s="214" t="s">
        <v>292</v>
      </c>
      <c r="B65" s="126">
        <v>1</v>
      </c>
      <c r="C65" s="126">
        <v>47</v>
      </c>
      <c r="D65" s="126" t="s">
        <v>113</v>
      </c>
      <c r="E65"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65" s="126" t="s">
        <v>66</v>
      </c>
      <c r="G65" s="126" t="s">
        <v>172</v>
      </c>
      <c r="H65" s="126" t="s">
        <v>173</v>
      </c>
      <c r="I65" s="125" t="s">
        <v>293</v>
      </c>
      <c r="J65" s="126" t="s">
        <v>35</v>
      </c>
      <c r="K65" s="126" t="s">
        <v>54</v>
      </c>
      <c r="L65" s="126" t="s">
        <v>37</v>
      </c>
      <c r="M65" s="126" t="s">
        <v>38</v>
      </c>
      <c r="N65" s="126" t="s">
        <v>122</v>
      </c>
      <c r="O65" s="126" t="s">
        <v>123</v>
      </c>
      <c r="P65" s="125"/>
      <c r="Q65" s="51">
        <v>46209</v>
      </c>
      <c r="R65"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46255</v>
      </c>
      <c r="S65" s="88">
        <f>IF(PRIORIDAD_UNO[[#This Row],[Fin Desarrollo]]="","",IF(ISBLANK(VLOOKUP(PRIORIDAD_UNO[[#This Row],[Nombre del requerimiento]],'Cálculos Manual'!A:H,8,FALSE)),WORKDAY(PRIORIDAD_UNO[[#This Row],[Fin Desarrollo]],5,FERIADOS[Fecha]), VLOOKUP(PRIORIDAD_UNO[[#This Row],[Nombre del requerimiento]],'Cálculos Manual'!A:H,8,FALSE)))</f>
        <v>46262</v>
      </c>
      <c r="T65"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46307</v>
      </c>
      <c r="U65" s="88">
        <f>IF(PRIORIDAD_UNO[[#This Row],[Fin Calidad]]="","",IF(ISBLANK(VLOOKUP(PRIORIDAD_UNO[[#This Row],[Nombre del requerimiento]],'Cálculos Manual'!A:L,12,FALSE)), WORKDAY(PRIORIDAD_UNO[[#This Row],[Fin Calidad]],5,FERIADOS[Fecha]), VLOOKUP(PRIORIDAD_UNO[[#This Row],[Nombre del requerimiento]],'Cálculos Manual'!A:L,12,FALSE)))</f>
        <v>46314</v>
      </c>
      <c r="V65"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46321</v>
      </c>
      <c r="W65" s="87">
        <f>IFERROR(PRIORIDAD_UNO[[#This Row],[Fin Producción]]-PRIORIDAD_UNO[[#This Row],[Comienzo Desarrollo]],"")</f>
        <v>112</v>
      </c>
      <c r="X65" s="132" t="str">
        <f>IF(ISBLANK(PRIORIDAD_UNO[[#This Row],[Comienzo Desarrollo]]),"Sin Fecha","Con Fecha")</f>
        <v>Con Fecha</v>
      </c>
      <c r="Y65" s="129" t="str">
        <f>IF(PRIORIDAD_UNO[[#This Row],[Esfuerzo Estimado Desarrollo]]="No definido","Sin esfuerzo","Con esfuerzo")</f>
        <v>Con esfuerzo</v>
      </c>
      <c r="Z65"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65" s="240" t="str">
        <f>IF(PRIORIDAD_UNO[[#This Row],[Comienzo Producción]]="","Por Definir",_xlfn.CONCAT(YEAR(PRIORIDAD_UNO[[#This Row],[Comienzo Producción]])," - ", MONTH(PRIORIDAD_UNO[[#This Row],[Comienzo Producción]])))</f>
        <v>2026 - 10</v>
      </c>
      <c r="AB65" s="240">
        <v>3250</v>
      </c>
      <c r="AC65" s="154"/>
    </row>
    <row r="66" spans="1:29" s="29" customFormat="1" ht="33.75" customHeight="1">
      <c r="A66" s="214" t="s">
        <v>294</v>
      </c>
      <c r="B66" s="30">
        <v>1</v>
      </c>
      <c r="C66" s="31">
        <v>24</v>
      </c>
      <c r="D66" s="31" t="s">
        <v>46</v>
      </c>
      <c r="E66"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66" s="30" t="s">
        <v>66</v>
      </c>
      <c r="G66" s="30" t="s">
        <v>157</v>
      </c>
      <c r="H66" s="30" t="s">
        <v>158</v>
      </c>
      <c r="I66" s="32" t="s">
        <v>295</v>
      </c>
      <c r="J66" s="101" t="s">
        <v>35</v>
      </c>
      <c r="K66" s="31" t="s">
        <v>36</v>
      </c>
      <c r="L66" s="31" t="s">
        <v>37</v>
      </c>
      <c r="M66" s="31" t="s">
        <v>38</v>
      </c>
      <c r="N66" s="31" t="s">
        <v>166</v>
      </c>
      <c r="O66" s="33" t="s">
        <v>123</v>
      </c>
      <c r="P66" s="34" t="s">
        <v>296</v>
      </c>
      <c r="Q66" s="121">
        <v>46272</v>
      </c>
      <c r="R66"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46433</v>
      </c>
      <c r="S66" s="88">
        <f>IF(PRIORIDAD_UNO[[#This Row],[Fin Desarrollo]]="","",IF(ISBLANK(VLOOKUP(PRIORIDAD_UNO[[#This Row],[Nombre del requerimiento]],'Cálculos Manual'!A:H,8,FALSE)),WORKDAY(PRIORIDAD_UNO[[#This Row],[Fin Desarrollo]],5,FERIADOS[Fecha]), VLOOKUP(PRIORIDAD_UNO[[#This Row],[Nombre del requerimiento]],'Cálculos Manual'!A:H,8,FALSE)))</f>
        <v>46440</v>
      </c>
      <c r="T66"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46512</v>
      </c>
      <c r="U66" s="88">
        <f>IF(PRIORIDAD_UNO[[#This Row],[Fin Calidad]]="","",IF(ISBLANK(VLOOKUP(PRIORIDAD_UNO[[#This Row],[Nombre del requerimiento]],'Cálculos Manual'!A:L,12,FALSE)), WORKDAY(PRIORIDAD_UNO[[#This Row],[Fin Calidad]],5,FERIADOS[Fecha]), VLOOKUP(PRIORIDAD_UNO[[#This Row],[Nombre del requerimiento]],'Cálculos Manual'!A:L,12,FALSE)))</f>
        <v>46519</v>
      </c>
      <c r="V66"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46533</v>
      </c>
      <c r="W66" s="87">
        <f>IFERROR(PRIORIDAD_UNO[[#This Row],[Fin Producción]]-PRIORIDAD_UNO[[#This Row],[Comienzo Desarrollo]],"")</f>
        <v>261</v>
      </c>
      <c r="X66" s="132" t="str">
        <f>IF(ISBLANK(PRIORIDAD_UNO[[#This Row],[Comienzo Desarrollo]]),"Sin Fecha","Con Fecha")</f>
        <v>Con Fecha</v>
      </c>
      <c r="Y66" s="129" t="str">
        <f>IF(PRIORIDAD_UNO[[#This Row],[Esfuerzo Estimado Desarrollo]]="No definido","Sin esfuerzo","Con esfuerzo")</f>
        <v>Con esfuerzo</v>
      </c>
      <c r="Z66"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66" s="240" t="str">
        <f>IF(PRIORIDAD_UNO[[#This Row],[Comienzo Producción]]="","Por Definir",_xlfn.CONCAT(YEAR(PRIORIDAD_UNO[[#This Row],[Comienzo Producción]])," - ", MONTH(PRIORIDAD_UNO[[#This Row],[Comienzo Producción]])))</f>
        <v>2027 - 5</v>
      </c>
      <c r="AB66" s="240">
        <v>3239</v>
      </c>
      <c r="AC66" s="154"/>
    </row>
    <row r="67" spans="1:29" s="29" customFormat="1" ht="33.75" customHeight="1">
      <c r="A67" s="214" t="s">
        <v>297</v>
      </c>
      <c r="B67" s="126">
        <v>1</v>
      </c>
      <c r="C67" s="126">
        <v>16</v>
      </c>
      <c r="D67" s="126" t="s">
        <v>162</v>
      </c>
      <c r="E67"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67" s="126" t="s">
        <v>68</v>
      </c>
      <c r="G67" s="126" t="s">
        <v>129</v>
      </c>
      <c r="H67" s="126" t="s">
        <v>298</v>
      </c>
      <c r="I67" s="125" t="s">
        <v>60</v>
      </c>
      <c r="J67" s="126" t="s">
        <v>35</v>
      </c>
      <c r="K67" s="126" t="s">
        <v>62</v>
      </c>
      <c r="L67" s="126" t="s">
        <v>37</v>
      </c>
      <c r="M67" s="126" t="s">
        <v>38</v>
      </c>
      <c r="N67" s="126" t="s">
        <v>299</v>
      </c>
      <c r="O67" s="126" t="s">
        <v>132</v>
      </c>
      <c r="P67" s="125"/>
      <c r="Q67" s="51">
        <v>46422</v>
      </c>
      <c r="R67"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46518</v>
      </c>
      <c r="S67" s="88">
        <f>IF(PRIORIDAD_UNO[[#This Row],[Fin Desarrollo]]="","",IF(ISBLANK(VLOOKUP(PRIORIDAD_UNO[[#This Row],[Nombre del requerimiento]],'Cálculos Manual'!A:H,8,FALSE)),WORKDAY(PRIORIDAD_UNO[[#This Row],[Fin Desarrollo]],5,FERIADOS[Fecha]), VLOOKUP(PRIORIDAD_UNO[[#This Row],[Nombre del requerimiento]],'Cálculos Manual'!A:H,8,FALSE)))</f>
        <v>46525</v>
      </c>
      <c r="T67"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46583</v>
      </c>
      <c r="U67" s="88">
        <f>IF(PRIORIDAD_UNO[[#This Row],[Fin Calidad]]="","",IF(ISBLANK(VLOOKUP(PRIORIDAD_UNO[[#This Row],[Nombre del requerimiento]],'Cálculos Manual'!A:L,12,FALSE)), WORKDAY(PRIORIDAD_UNO[[#This Row],[Fin Calidad]],5,FERIADOS[Fecha]), VLOOKUP(PRIORIDAD_UNO[[#This Row],[Nombre del requerimiento]],'Cálculos Manual'!A:L,12,FALSE)))</f>
        <v>46590</v>
      </c>
      <c r="V67"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46602</v>
      </c>
      <c r="W67" s="87">
        <f>IFERROR(PRIORIDAD_UNO[[#This Row],[Fin Producción]]-PRIORIDAD_UNO[[#This Row],[Comienzo Desarrollo]],"")</f>
        <v>180</v>
      </c>
      <c r="X67" s="132" t="str">
        <f>IF(ISBLANK(PRIORIDAD_UNO[[#This Row],[Comienzo Desarrollo]]),"Sin Fecha","Con Fecha")</f>
        <v>Con Fecha</v>
      </c>
      <c r="Y67" s="129" t="str">
        <f>IF(PRIORIDAD_UNO[[#This Row],[Esfuerzo Estimado Desarrollo]]="No definido","Sin esfuerzo","Con esfuerzo")</f>
        <v>Con esfuerzo</v>
      </c>
      <c r="Z67" s="22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67" s="240" t="str">
        <f>IF(PRIORIDAD_UNO[[#This Row],[Comienzo Producción]]="","Por Definir",_xlfn.CONCAT(YEAR(PRIORIDAD_UNO[[#This Row],[Comienzo Producción]])," - ", MONTH(PRIORIDAD_UNO[[#This Row],[Comienzo Producción]])))</f>
        <v>2027 - 7</v>
      </c>
      <c r="AB67" s="240" t="s">
        <v>116</v>
      </c>
      <c r="AC67" s="154"/>
    </row>
    <row r="68" spans="1:29" s="29" customFormat="1" ht="33.75" customHeight="1">
      <c r="A68" s="215" t="s">
        <v>300</v>
      </c>
      <c r="B68" s="155">
        <v>1</v>
      </c>
      <c r="C68" s="155">
        <v>4</v>
      </c>
      <c r="D68" s="126" t="s">
        <v>46</v>
      </c>
      <c r="E68"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68" s="126" t="s">
        <v>31</v>
      </c>
      <c r="G68" s="126" t="s">
        <v>32</v>
      </c>
      <c r="H68" s="155" t="s">
        <v>33</v>
      </c>
      <c r="I68" s="159" t="s">
        <v>34</v>
      </c>
      <c r="J68" s="155" t="s">
        <v>35</v>
      </c>
      <c r="K68" s="155" t="s">
        <v>54</v>
      </c>
      <c r="L68" s="126" t="s">
        <v>37</v>
      </c>
      <c r="M68" s="155" t="s">
        <v>38</v>
      </c>
      <c r="N68" s="155" t="s">
        <v>50</v>
      </c>
      <c r="O68" s="155" t="s">
        <v>40</v>
      </c>
      <c r="P68" s="159" t="s">
        <v>105</v>
      </c>
      <c r="Q68" s="50">
        <v>46174</v>
      </c>
      <c r="R68"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46336</v>
      </c>
      <c r="S68" s="88">
        <f>IF(PRIORIDAD_UNO[[#This Row],[Fin Desarrollo]]="","",IF(ISBLANK(VLOOKUP(PRIORIDAD_UNO[[#This Row],[Nombre del requerimiento]],'Cálculos Manual'!A:H,8,FALSE)),WORKDAY(PRIORIDAD_UNO[[#This Row],[Fin Desarrollo]],5,FERIADOS[Fecha]), VLOOKUP(PRIORIDAD_UNO[[#This Row],[Nombre del requerimiento]],'Cálculos Manual'!A:H,8,FALSE)))</f>
        <v>46343</v>
      </c>
      <c r="T68"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46419</v>
      </c>
      <c r="U68" s="88">
        <f>IF(PRIORIDAD_UNO[[#This Row],[Fin Calidad]]="","",IF(ISBLANK(VLOOKUP(PRIORIDAD_UNO[[#This Row],[Nombre del requerimiento]],'Cálculos Manual'!A:L,12,FALSE)), WORKDAY(PRIORIDAD_UNO[[#This Row],[Fin Calidad]],5,FERIADOS[Fecha]), VLOOKUP(PRIORIDAD_UNO[[#This Row],[Nombre del requerimiento]],'Cálculos Manual'!A:L,12,FALSE)))</f>
        <v>46426</v>
      </c>
      <c r="V68"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46440</v>
      </c>
      <c r="W68" s="87">
        <f>IFERROR(PRIORIDAD_UNO[[#This Row],[Fin Producción]]-PRIORIDAD_UNO[[#This Row],[Comienzo Desarrollo]],"")</f>
        <v>266</v>
      </c>
      <c r="X68" s="132" t="str">
        <f>IF(ISBLANK(PRIORIDAD_UNO[[#This Row],[Comienzo Desarrollo]]),"Sin Fecha","Con Fecha")</f>
        <v>Con Fecha</v>
      </c>
      <c r="Y68" s="129" t="str">
        <f>IF(PRIORIDAD_UNO[[#This Row],[Esfuerzo Estimado Desarrollo]]="No definido","Sin esfuerzo","Con esfuerzo")</f>
        <v>Con esfuerzo</v>
      </c>
      <c r="Z68" s="226" t="str">
        <f ca="1">IF(ISBLANK(PRIORIDAD_UNO[[#This Row],[Comienzo Desarrollo]]),"🔵 Sin Fecha",
IF(PRIORIDAD_UNO[[#This Row],[Comienzo Desarrollo]]&lt;TODAY(),"🔴 Vencido",
IF(PRIORIDAD_UNO[[#This Row],[Comienzo Desarrollo]]=TODAY(),"🟡 Vence hoy",
IF((PRIORIDAD_UNO[[#This Row],[Comienzo Desarrollo]]-TODAY())&lt;=5,"🟠 Por vencer",
"🟢 A tiempo"))))</f>
        <v>🔴 Vencido</v>
      </c>
      <c r="AA68" s="240" t="str">
        <f>IF(PRIORIDAD_UNO[[#This Row],[Comienzo Producción]]="","Por Definir",_xlfn.CONCAT(YEAR(PRIORIDAD_UNO[[#This Row],[Comienzo Producción]])," - ", MONTH(PRIORIDAD_UNO[[#This Row],[Comienzo Producción]])))</f>
        <v>2027 - 2</v>
      </c>
      <c r="AB68" s="101">
        <v>3330</v>
      </c>
      <c r="AC68" s="154"/>
    </row>
    <row r="69" spans="1:29" s="29" customFormat="1" ht="33.75" customHeight="1">
      <c r="A69" s="216" t="s">
        <v>301</v>
      </c>
      <c r="B69" s="126">
        <v>1</v>
      </c>
      <c r="C69" s="126">
        <v>2</v>
      </c>
      <c r="D69" s="126" t="s">
        <v>29</v>
      </c>
      <c r="E69"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69" s="126" t="s">
        <v>31</v>
      </c>
      <c r="G69" s="126" t="s">
        <v>32</v>
      </c>
      <c r="H69" s="126" t="s">
        <v>33</v>
      </c>
      <c r="I69" s="125" t="s">
        <v>34</v>
      </c>
      <c r="J69" s="126" t="s">
        <v>35</v>
      </c>
      <c r="K69" s="126" t="s">
        <v>54</v>
      </c>
      <c r="L69" s="126" t="s">
        <v>37</v>
      </c>
      <c r="M69" s="126" t="s">
        <v>38</v>
      </c>
      <c r="N69" s="126" t="s">
        <v>302</v>
      </c>
      <c r="O69" s="126" t="s">
        <v>40</v>
      </c>
      <c r="P69" s="125" t="s">
        <v>105</v>
      </c>
      <c r="Q69" s="51">
        <v>46266</v>
      </c>
      <c r="R69"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46359</v>
      </c>
      <c r="S69" s="88">
        <f>IF(PRIORIDAD_UNO[[#This Row],[Fin Desarrollo]]="","",IF(ISBLANK(VLOOKUP(PRIORIDAD_UNO[[#This Row],[Nombre del requerimiento]],'Cálculos Manual'!A:H,8,FALSE)),WORKDAY(PRIORIDAD_UNO[[#This Row],[Fin Desarrollo]],5,FERIADOS[Fecha]), VLOOKUP(PRIORIDAD_UNO[[#This Row],[Nombre del requerimiento]],'Cálculos Manual'!A:H,8,FALSE)))</f>
        <v>46370</v>
      </c>
      <c r="T69"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46428</v>
      </c>
      <c r="U69" s="88">
        <f>IF(PRIORIDAD_UNO[[#This Row],[Fin Calidad]]="","",IF(ISBLANK(VLOOKUP(PRIORIDAD_UNO[[#This Row],[Nombre del requerimiento]],'Cálculos Manual'!A:L,12,FALSE)), WORKDAY(PRIORIDAD_UNO[[#This Row],[Fin Calidad]],5,FERIADOS[Fecha]), VLOOKUP(PRIORIDAD_UNO[[#This Row],[Nombre del requerimiento]],'Cálculos Manual'!A:L,12,FALSE)))</f>
        <v>46435</v>
      </c>
      <c r="V69"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46442</v>
      </c>
      <c r="W69" s="87">
        <f>IFERROR(PRIORIDAD_UNO[[#This Row],[Fin Producción]]-PRIORIDAD_UNO[[#This Row],[Comienzo Desarrollo]],"")</f>
        <v>176</v>
      </c>
      <c r="X69" s="132" t="str">
        <f>IF(ISBLANK(PRIORIDAD_UNO[[#This Row],[Comienzo Desarrollo]]),"Sin Fecha","Con Fecha")</f>
        <v>Con Fecha</v>
      </c>
      <c r="Y69" s="129" t="str">
        <f>IF(PRIORIDAD_UNO[[#This Row],[Esfuerzo Estimado Desarrollo]]="No definido","Sin esfuerzo","Con esfuerzo")</f>
        <v>Con esfuerzo</v>
      </c>
      <c r="Z69" s="158" t="str">
        <f ca="1">IF(ISBLANK(PRIORIDAD_UNO[[#This Row],[Comienzo Desarrollo]]),"🔵 Sin Fecha",
IF(PRIORIDAD_UNO[[#This Row],[Comienzo Desarrollo]]&lt;TODAY(),"🔴 Vencido",
IF(PRIORIDAD_UNO[[#This Row],[Comienzo Desarrollo]]=TODAY(),"🟡 Vence hoy",
IF((PRIORIDAD_UNO[[#This Row],[Comienzo Desarrollo]]-TODAY())&lt;=5,"🟠 Por vencer",
"🟢 A tiempo"))))</f>
        <v>🟢 A tiempo</v>
      </c>
      <c r="AA69" s="239" t="str">
        <f>IF(PRIORIDAD_UNO[[#This Row],[Comienzo Producción]]="","Por Definir",_xlfn.CONCAT(YEAR(PRIORIDAD_UNO[[#This Row],[Comienzo Producción]])," - ", MONTH(PRIORIDAD_UNO[[#This Row],[Comienzo Producción]])))</f>
        <v>2027 - 2</v>
      </c>
      <c r="AB69" s="101">
        <v>3326</v>
      </c>
      <c r="AC69" s="154"/>
    </row>
    <row r="70" spans="1:29" s="29" customFormat="1" ht="33.75" customHeight="1">
      <c r="A70" s="217" t="s">
        <v>303</v>
      </c>
      <c r="B70" s="126">
        <v>1</v>
      </c>
      <c r="C70" s="126">
        <v>41</v>
      </c>
      <c r="D70" s="126" t="s">
        <v>46</v>
      </c>
      <c r="E70"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70" s="126" t="s">
        <v>66</v>
      </c>
      <c r="G70" s="126" t="s">
        <v>119</v>
      </c>
      <c r="H70" s="126" t="s">
        <v>278</v>
      </c>
      <c r="I70" s="125" t="s">
        <v>304</v>
      </c>
      <c r="J70" s="126" t="s">
        <v>35</v>
      </c>
      <c r="K70" s="126" t="s">
        <v>54</v>
      </c>
      <c r="L70" s="126" t="s">
        <v>37</v>
      </c>
      <c r="M70" s="126" t="s">
        <v>38</v>
      </c>
      <c r="N70" s="126" t="s">
        <v>234</v>
      </c>
      <c r="O70" s="155" t="s">
        <v>123</v>
      </c>
      <c r="P70" s="125"/>
      <c r="Q70" s="51">
        <v>46266</v>
      </c>
      <c r="R70"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46427</v>
      </c>
      <c r="S70" s="88">
        <f>IF(PRIORIDAD_UNO[[#This Row],[Fin Desarrollo]]="","",IF(ISBLANK(VLOOKUP(PRIORIDAD_UNO[[#This Row],[Nombre del requerimiento]],'Cálculos Manual'!A:H,8,FALSE)),WORKDAY(PRIORIDAD_UNO[[#This Row],[Fin Desarrollo]],5,FERIADOS[Fecha]), VLOOKUP(PRIORIDAD_UNO[[#This Row],[Nombre del requerimiento]],'Cálculos Manual'!A:H,8,FALSE)))</f>
        <v>46434</v>
      </c>
      <c r="T70"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46506</v>
      </c>
      <c r="U70" s="88">
        <f>IF(PRIORIDAD_UNO[[#This Row],[Fin Calidad]]="","",IF(ISBLANK(VLOOKUP(PRIORIDAD_UNO[[#This Row],[Nombre del requerimiento]],'Cálculos Manual'!A:L,12,FALSE)), WORKDAY(PRIORIDAD_UNO[[#This Row],[Fin Calidad]],5,FERIADOS[Fecha]), VLOOKUP(PRIORIDAD_UNO[[#This Row],[Nombre del requerimiento]],'Cálculos Manual'!A:L,12,FALSE)))</f>
        <v>46513</v>
      </c>
      <c r="V70"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46527</v>
      </c>
      <c r="W70" s="87">
        <f>IFERROR(PRIORIDAD_UNO[[#This Row],[Fin Producción]]-PRIORIDAD_UNO[[#This Row],[Comienzo Desarrollo]],"")</f>
        <v>261</v>
      </c>
      <c r="X70" s="132" t="str">
        <f>IF(ISBLANK(PRIORIDAD_UNO[[#This Row],[Comienzo Desarrollo]]),"Sin Fecha","Con Fecha")</f>
        <v>Con Fecha</v>
      </c>
      <c r="Y70" s="129" t="str">
        <f>IF(PRIORIDAD_UNO[[#This Row],[Esfuerzo Estimado Desarrollo]]="No definido","Sin esfuerzo","Con esfuerzo")</f>
        <v>Con esfuerzo</v>
      </c>
      <c r="Z70"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70" s="239" t="str">
        <f>IF(PRIORIDAD_UNO[[#This Row],[Comienzo Producción]]="","Por Definir",_xlfn.CONCAT(YEAR(PRIORIDAD_UNO[[#This Row],[Comienzo Producción]])," - ", MONTH(PRIORIDAD_UNO[[#This Row],[Comienzo Producción]])))</f>
        <v>2027 - 5</v>
      </c>
      <c r="AB70" s="101">
        <v>3245</v>
      </c>
      <c r="AC70" s="154"/>
    </row>
    <row r="71" spans="1:29" s="29" customFormat="1" ht="33.75" customHeight="1">
      <c r="A71" s="217" t="s">
        <v>305</v>
      </c>
      <c r="B71" s="126">
        <v>1</v>
      </c>
      <c r="C71" s="126">
        <v>46</v>
      </c>
      <c r="D71" s="126" t="s">
        <v>226</v>
      </c>
      <c r="E71"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Extra Grande</v>
      </c>
      <c r="F71" s="126" t="s">
        <v>66</v>
      </c>
      <c r="G71" s="126" t="s">
        <v>119</v>
      </c>
      <c r="H71" s="126" t="s">
        <v>278</v>
      </c>
      <c r="I71" s="125" t="s">
        <v>306</v>
      </c>
      <c r="J71" s="126" t="s">
        <v>35</v>
      </c>
      <c r="K71" s="126" t="s">
        <v>54</v>
      </c>
      <c r="L71" s="126" t="s">
        <v>37</v>
      </c>
      <c r="M71" s="126" t="s">
        <v>38</v>
      </c>
      <c r="N71" s="126" t="s">
        <v>166</v>
      </c>
      <c r="O71" s="126" t="s">
        <v>123</v>
      </c>
      <c r="P71" s="125"/>
      <c r="Q71" s="51">
        <v>46272</v>
      </c>
      <c r="R71"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46497</v>
      </c>
      <c r="S71" s="88">
        <f>IF(PRIORIDAD_UNO[[#This Row],[Fin Desarrollo]]="","",IF(ISBLANK(VLOOKUP(PRIORIDAD_UNO[[#This Row],[Nombre del requerimiento]],'Cálculos Manual'!A:H,8,FALSE)),WORKDAY(PRIORIDAD_UNO[[#This Row],[Fin Desarrollo]],5,FERIADOS[Fecha]), VLOOKUP(PRIORIDAD_UNO[[#This Row],[Nombre del requerimiento]],'Cálculos Manual'!A:H,8,FALSE)))</f>
        <v>46504</v>
      </c>
      <c r="T71"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46576</v>
      </c>
      <c r="U71" s="88">
        <f>IF(PRIORIDAD_UNO[[#This Row],[Fin Calidad]]="","",IF(ISBLANK(VLOOKUP(PRIORIDAD_UNO[[#This Row],[Nombre del requerimiento]],'Cálculos Manual'!A:L,12,FALSE)), WORKDAY(PRIORIDAD_UNO[[#This Row],[Fin Calidad]],5,FERIADOS[Fecha]), VLOOKUP(PRIORIDAD_UNO[[#This Row],[Nombre del requerimiento]],'Cálculos Manual'!A:L,12,FALSE)))</f>
        <v>46583</v>
      </c>
      <c r="V71"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46590</v>
      </c>
      <c r="W71" s="87">
        <f>IFERROR(PRIORIDAD_UNO[[#This Row],[Fin Producción]]-PRIORIDAD_UNO[[#This Row],[Comienzo Desarrollo]],"")</f>
        <v>318</v>
      </c>
      <c r="X71" s="132" t="str">
        <f>IF(ISBLANK(PRIORIDAD_UNO[[#This Row],[Comienzo Desarrollo]]),"Sin Fecha","Con Fecha")</f>
        <v>Con Fecha</v>
      </c>
      <c r="Y71" s="129" t="str">
        <f>IF(PRIORIDAD_UNO[[#This Row],[Esfuerzo Estimado Desarrollo]]="No definido","Sin esfuerzo","Con esfuerzo")</f>
        <v>Con esfuerzo</v>
      </c>
      <c r="Z71"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71" s="239" t="str">
        <f>IF(PRIORIDAD_UNO[[#This Row],[Comienzo Producción]]="","Por Definir",_xlfn.CONCAT(YEAR(PRIORIDAD_UNO[[#This Row],[Comienzo Producción]])," - ", MONTH(PRIORIDAD_UNO[[#This Row],[Comienzo Producción]])))</f>
        <v>2027 - 7</v>
      </c>
      <c r="AB71" s="101">
        <v>3249</v>
      </c>
      <c r="AC71" s="154"/>
    </row>
    <row r="72" spans="1:29" s="29" customFormat="1" ht="33.75" customHeight="1">
      <c r="A72" s="217" t="s">
        <v>307</v>
      </c>
      <c r="B72" s="126">
        <v>1</v>
      </c>
      <c r="C72" s="126">
        <v>32</v>
      </c>
      <c r="D72" s="126" t="s">
        <v>308</v>
      </c>
      <c r="E72"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72" s="126" t="s">
        <v>66</v>
      </c>
      <c r="G72" s="126" t="s">
        <v>172</v>
      </c>
      <c r="H72" s="126" t="s">
        <v>173</v>
      </c>
      <c r="I72" s="125" t="s">
        <v>309</v>
      </c>
      <c r="J72" s="47" t="s">
        <v>35</v>
      </c>
      <c r="K72" s="126" t="s">
        <v>54</v>
      </c>
      <c r="L72" s="126" t="s">
        <v>37</v>
      </c>
      <c r="M72" s="126" t="s">
        <v>38</v>
      </c>
      <c r="N72" s="126" t="s">
        <v>166</v>
      </c>
      <c r="O72" s="126" t="s">
        <v>123</v>
      </c>
      <c r="P72" s="125" t="s">
        <v>310</v>
      </c>
      <c r="Q72" s="51">
        <v>46272</v>
      </c>
      <c r="R72"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46433</v>
      </c>
      <c r="S72" s="88">
        <f>IF(PRIORIDAD_UNO[[#This Row],[Fin Desarrollo]]="","",IF(ISBLANK(VLOOKUP(PRIORIDAD_UNO[[#This Row],[Nombre del requerimiento]],'Cálculos Manual'!A:H,8,FALSE)),WORKDAY(PRIORIDAD_UNO[[#This Row],[Fin Desarrollo]],5,FERIADOS[Fecha]), VLOOKUP(PRIORIDAD_UNO[[#This Row],[Nombre del requerimiento]],'Cálculos Manual'!A:H,8,FALSE)))</f>
        <v>46440</v>
      </c>
      <c r="T72"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46512</v>
      </c>
      <c r="U72" s="88">
        <f>IF(PRIORIDAD_UNO[[#This Row],[Fin Calidad]]="","",IF(ISBLANK(VLOOKUP(PRIORIDAD_UNO[[#This Row],[Nombre del requerimiento]],'Cálculos Manual'!A:L,12,FALSE)), WORKDAY(PRIORIDAD_UNO[[#This Row],[Fin Calidad]],5,FERIADOS[Fecha]), VLOOKUP(PRIORIDAD_UNO[[#This Row],[Nombre del requerimiento]],'Cálculos Manual'!A:L,12,FALSE)))</f>
        <v>46519</v>
      </c>
      <c r="V72"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46533</v>
      </c>
      <c r="W72" s="87">
        <f>IFERROR(PRIORIDAD_UNO[[#This Row],[Fin Producción]]-PRIORIDAD_UNO[[#This Row],[Comienzo Desarrollo]],"")</f>
        <v>261</v>
      </c>
      <c r="X72" s="132" t="str">
        <f>IF(ISBLANK(PRIORIDAD_UNO[[#This Row],[Comienzo Desarrollo]]),"Sin Fecha","Con Fecha")</f>
        <v>Con Fecha</v>
      </c>
      <c r="Y72" s="129" t="str">
        <f>IF(PRIORIDAD_UNO[[#This Row],[Esfuerzo Estimado Desarrollo]]="No definido","Sin esfuerzo","Con esfuerzo")</f>
        <v>Con esfuerzo</v>
      </c>
      <c r="Z72"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72" s="239" t="str">
        <f>IF(PRIORIDAD_UNO[[#This Row],[Comienzo Producción]]="","Por Definir",_xlfn.CONCAT(YEAR(PRIORIDAD_UNO[[#This Row],[Comienzo Producción]])," - ", MONTH(PRIORIDAD_UNO[[#This Row],[Comienzo Producción]])))</f>
        <v>2027 - 5</v>
      </c>
      <c r="AB72" s="101">
        <v>3231</v>
      </c>
      <c r="AC72" s="154"/>
    </row>
    <row r="73" spans="1:29" s="29" customFormat="1" ht="33.75" customHeight="1">
      <c r="A73" s="217" t="s">
        <v>311</v>
      </c>
      <c r="B73" s="126">
        <v>1</v>
      </c>
      <c r="C73" s="126">
        <v>7</v>
      </c>
      <c r="D73" s="126" t="s">
        <v>226</v>
      </c>
      <c r="E73"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Extra Grande</v>
      </c>
      <c r="F73" s="126" t="s">
        <v>68</v>
      </c>
      <c r="G73" s="126" t="s">
        <v>129</v>
      </c>
      <c r="H73" s="126" t="s">
        <v>312</v>
      </c>
      <c r="I73" s="125" t="s">
        <v>313</v>
      </c>
      <c r="J73" s="126" t="s">
        <v>35</v>
      </c>
      <c r="K73" s="126" t="s">
        <v>54</v>
      </c>
      <c r="L73" s="126" t="s">
        <v>37</v>
      </c>
      <c r="M73" s="126" t="s">
        <v>38</v>
      </c>
      <c r="N73" s="126" t="s">
        <v>166</v>
      </c>
      <c r="O73" s="155" t="s">
        <v>132</v>
      </c>
      <c r="P73" s="125"/>
      <c r="Q73" s="51">
        <v>46209</v>
      </c>
      <c r="R73"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46436</v>
      </c>
      <c r="S73" s="88">
        <f>IF(PRIORIDAD_UNO[[#This Row],[Fin Desarrollo]]="","",IF(ISBLANK(VLOOKUP(PRIORIDAD_UNO[[#This Row],[Nombre del requerimiento]],'Cálculos Manual'!A:H,8,FALSE)),WORKDAY(PRIORIDAD_UNO[[#This Row],[Fin Desarrollo]],5,FERIADOS[Fecha]), VLOOKUP(PRIORIDAD_UNO[[#This Row],[Nombre del requerimiento]],'Cálculos Manual'!A:H,8,FALSE)))</f>
        <v>46443</v>
      </c>
      <c r="T73"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46517</v>
      </c>
      <c r="U73" s="88">
        <f>IF(PRIORIDAD_UNO[[#This Row],[Fin Calidad]]="","",IF(ISBLANK(VLOOKUP(PRIORIDAD_UNO[[#This Row],[Nombre del requerimiento]],'Cálculos Manual'!A:L,12,FALSE)), WORKDAY(PRIORIDAD_UNO[[#This Row],[Fin Calidad]],5,FERIADOS[Fecha]), VLOOKUP(PRIORIDAD_UNO[[#This Row],[Nombre del requerimiento]],'Cálculos Manual'!A:L,12,FALSE)))</f>
        <v>46524</v>
      </c>
      <c r="V73"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46531</v>
      </c>
      <c r="W73" s="87">
        <f>IFERROR(PRIORIDAD_UNO[[#This Row],[Fin Producción]]-PRIORIDAD_UNO[[#This Row],[Comienzo Desarrollo]],"")</f>
        <v>322</v>
      </c>
      <c r="X73" s="132" t="str">
        <f>IF(ISBLANK(PRIORIDAD_UNO[[#This Row],[Comienzo Desarrollo]]),"Sin Fecha","Con Fecha")</f>
        <v>Con Fecha</v>
      </c>
      <c r="Y73" s="129" t="str">
        <f>IF(PRIORIDAD_UNO[[#This Row],[Esfuerzo Estimado Desarrollo]]="No definido","Sin esfuerzo","Con esfuerzo")</f>
        <v>Con esfuerzo</v>
      </c>
      <c r="Z73"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73" s="239" t="str">
        <f>IF(PRIORIDAD_UNO[[#This Row],[Comienzo Producción]]="","Por Definir",_xlfn.CONCAT(YEAR(PRIORIDAD_UNO[[#This Row],[Comienzo Producción]])," - ", MONTH(PRIORIDAD_UNO[[#This Row],[Comienzo Producción]])))</f>
        <v>2027 - 5</v>
      </c>
      <c r="AB73" s="101">
        <v>3218</v>
      </c>
      <c r="AC73" s="154"/>
    </row>
    <row r="74" spans="1:29" s="29" customFormat="1" ht="33.75" customHeight="1">
      <c r="A74" s="217" t="s">
        <v>314</v>
      </c>
      <c r="B74" s="126">
        <v>1</v>
      </c>
      <c r="C74" s="126">
        <v>13</v>
      </c>
      <c r="D74" s="126" t="s">
        <v>29</v>
      </c>
      <c r="E74"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74" s="126" t="s">
        <v>31</v>
      </c>
      <c r="G74" s="126" t="s">
        <v>32</v>
      </c>
      <c r="H74" s="126" t="s">
        <v>141</v>
      </c>
      <c r="I74" s="125" t="s">
        <v>169</v>
      </c>
      <c r="J74" s="126" t="s">
        <v>35</v>
      </c>
      <c r="K74" s="126" t="s">
        <v>49</v>
      </c>
      <c r="L74" s="126" t="s">
        <v>37</v>
      </c>
      <c r="M74" s="126" t="s">
        <v>38</v>
      </c>
      <c r="N74" s="161" t="s">
        <v>115</v>
      </c>
      <c r="O74" s="126" t="s">
        <v>40</v>
      </c>
      <c r="P74" s="125"/>
      <c r="Q74" s="51">
        <v>46329</v>
      </c>
      <c r="R74"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46427</v>
      </c>
      <c r="S74" s="88">
        <f>IF(PRIORIDAD_UNO[[#This Row],[Fin Desarrollo]]="","",IF(ISBLANK(VLOOKUP(PRIORIDAD_UNO[[#This Row],[Nombre del requerimiento]],'Cálculos Manual'!A:H,8,FALSE)),WORKDAY(PRIORIDAD_UNO[[#This Row],[Fin Desarrollo]],5,FERIADOS[Fecha]), VLOOKUP(PRIORIDAD_UNO[[#This Row],[Nombre del requerimiento]],'Cálculos Manual'!A:H,8,FALSE)))</f>
        <v>46434</v>
      </c>
      <c r="T74"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46492</v>
      </c>
      <c r="U74" s="88">
        <f>IF(PRIORIDAD_UNO[[#This Row],[Fin Calidad]]="","",IF(ISBLANK(VLOOKUP(PRIORIDAD_UNO[[#This Row],[Nombre del requerimiento]],'Cálculos Manual'!A:L,12,FALSE)), WORKDAY(PRIORIDAD_UNO[[#This Row],[Fin Calidad]],5,FERIADOS[Fecha]), VLOOKUP(PRIORIDAD_UNO[[#This Row],[Nombre del requerimiento]],'Cálculos Manual'!A:L,12,FALSE)))</f>
        <v>46499</v>
      </c>
      <c r="V74"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46506</v>
      </c>
      <c r="W74" s="87">
        <f>IFERROR(PRIORIDAD_UNO[[#This Row],[Fin Producción]]-PRIORIDAD_UNO[[#This Row],[Comienzo Desarrollo]],"")</f>
        <v>177</v>
      </c>
      <c r="X74" s="132" t="str">
        <f>IF(ISBLANK(PRIORIDAD_UNO[[#This Row],[Comienzo Desarrollo]]),"Sin Fecha","Con Fecha")</f>
        <v>Con Fecha</v>
      </c>
      <c r="Y74" s="129" t="str">
        <f>IF(PRIORIDAD_UNO[[#This Row],[Esfuerzo Estimado Desarrollo]]="No definido","Sin esfuerzo","Con esfuerzo")</f>
        <v>Con esfuerzo</v>
      </c>
      <c r="Z74"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74" s="239" t="str">
        <f>IF(PRIORIDAD_UNO[[#This Row],[Comienzo Producción]]="","Por Definir",_xlfn.CONCAT(YEAR(PRIORIDAD_UNO[[#This Row],[Comienzo Producción]])," - ", MONTH(PRIORIDAD_UNO[[#This Row],[Comienzo Producción]])))</f>
        <v>2027 - 4</v>
      </c>
      <c r="AB74" s="101">
        <v>3193</v>
      </c>
      <c r="AC74" s="154"/>
    </row>
    <row r="75" spans="1:29" s="29" customFormat="1" ht="33.75" customHeight="1">
      <c r="A75" s="216" t="s">
        <v>315</v>
      </c>
      <c r="B75" s="126">
        <v>1</v>
      </c>
      <c r="C75" s="126" t="s">
        <v>52</v>
      </c>
      <c r="D75" s="126" t="s">
        <v>46</v>
      </c>
      <c r="E75"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75" s="126" t="s">
        <v>31</v>
      </c>
      <c r="G75" s="126" t="s">
        <v>32</v>
      </c>
      <c r="H75" s="126" t="s">
        <v>33</v>
      </c>
      <c r="I75" s="125" t="s">
        <v>316</v>
      </c>
      <c r="J75" s="126" t="s">
        <v>35</v>
      </c>
      <c r="K75" s="126" t="s">
        <v>54</v>
      </c>
      <c r="L75" s="126" t="s">
        <v>37</v>
      </c>
      <c r="M75" s="126" t="s">
        <v>38</v>
      </c>
      <c r="N75" s="126" t="s">
        <v>291</v>
      </c>
      <c r="O75" s="126" t="s">
        <v>40</v>
      </c>
      <c r="P75" s="125" t="s">
        <v>182</v>
      </c>
      <c r="Q75" s="51">
        <v>46237</v>
      </c>
      <c r="R75"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46399</v>
      </c>
      <c r="S75" s="88">
        <f>IF(PRIORIDAD_UNO[[#This Row],[Fin Desarrollo]]="","",IF(ISBLANK(VLOOKUP(PRIORIDAD_UNO[[#This Row],[Nombre del requerimiento]],'Cálculos Manual'!A:H,8,FALSE)),WORKDAY(PRIORIDAD_UNO[[#This Row],[Fin Desarrollo]],5,FERIADOS[Fecha]), VLOOKUP(PRIORIDAD_UNO[[#This Row],[Nombre del requerimiento]],'Cálculos Manual'!A:H,8,FALSE)))</f>
        <v>46406</v>
      </c>
      <c r="T75"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46478</v>
      </c>
      <c r="U75" s="88">
        <f>IF(PRIORIDAD_UNO[[#This Row],[Fin Calidad]]="","",IF(ISBLANK(VLOOKUP(PRIORIDAD_UNO[[#This Row],[Nombre del requerimiento]],'Cálculos Manual'!A:L,12,FALSE)), WORKDAY(PRIORIDAD_UNO[[#This Row],[Fin Calidad]],5,FERIADOS[Fecha]), VLOOKUP(PRIORIDAD_UNO[[#This Row],[Nombre del requerimiento]],'Cálculos Manual'!A:L,12,FALSE)))</f>
        <v>46485</v>
      </c>
      <c r="V75"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46499</v>
      </c>
      <c r="W75" s="87">
        <f>IFERROR(PRIORIDAD_UNO[[#This Row],[Fin Producción]]-PRIORIDAD_UNO[[#This Row],[Comienzo Desarrollo]],"")</f>
        <v>262</v>
      </c>
      <c r="X75" s="132" t="str">
        <f>IF(ISBLANK(PRIORIDAD_UNO[[#This Row],[Comienzo Desarrollo]]),"Sin Fecha","Con Fecha")</f>
        <v>Con Fecha</v>
      </c>
      <c r="Y75" s="129" t="str">
        <f>IF(PRIORIDAD_UNO[[#This Row],[Esfuerzo Estimado Desarrollo]]="No definido","Sin esfuerzo","Con esfuerzo")</f>
        <v>Con esfuerzo</v>
      </c>
      <c r="Z75"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75" s="239" t="str">
        <f>IF(PRIORIDAD_UNO[[#This Row],[Comienzo Producción]]="","Por Definir",_xlfn.CONCAT(YEAR(PRIORIDAD_UNO[[#This Row],[Comienzo Producción]])," - ", MONTH(PRIORIDAD_UNO[[#This Row],[Comienzo Producción]])))</f>
        <v>2027 - 4</v>
      </c>
      <c r="AB75" s="101">
        <v>3145</v>
      </c>
      <c r="AC75" s="154"/>
    </row>
    <row r="76" spans="1:29" s="29" customFormat="1" ht="33.75" customHeight="1">
      <c r="A76" s="224" t="s">
        <v>317</v>
      </c>
      <c r="B76" s="126">
        <v>1</v>
      </c>
      <c r="C76" s="126">
        <v>6</v>
      </c>
      <c r="D76" s="126" t="s">
        <v>29</v>
      </c>
      <c r="E76"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76" s="126" t="s">
        <v>31</v>
      </c>
      <c r="G76" s="126" t="s">
        <v>32</v>
      </c>
      <c r="H76" s="126" t="s">
        <v>33</v>
      </c>
      <c r="I76" s="125" t="s">
        <v>114</v>
      </c>
      <c r="J76" s="126" t="s">
        <v>35</v>
      </c>
      <c r="K76" s="126" t="s">
        <v>36</v>
      </c>
      <c r="L76" s="126" t="s">
        <v>37</v>
      </c>
      <c r="M76" s="126" t="s">
        <v>38</v>
      </c>
      <c r="N76" s="126" t="s">
        <v>175</v>
      </c>
      <c r="O76" s="126" t="s">
        <v>40</v>
      </c>
      <c r="P76" s="125" t="s">
        <v>318</v>
      </c>
      <c r="Q76" s="51">
        <v>46237</v>
      </c>
      <c r="R76"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46331</v>
      </c>
      <c r="S76" s="88">
        <f>IF(PRIORIDAD_UNO[[#This Row],[Fin Desarrollo]]="","",IF(ISBLANK(VLOOKUP(PRIORIDAD_UNO[[#This Row],[Nombre del requerimiento]],'Cálculos Manual'!A:H,8,FALSE)),WORKDAY(PRIORIDAD_UNO[[#This Row],[Fin Desarrollo]],5,FERIADOS[Fecha]), VLOOKUP(PRIORIDAD_UNO[[#This Row],[Nombre del requerimiento]],'Cálculos Manual'!A:H,8,FALSE)))</f>
        <v>46338</v>
      </c>
      <c r="T76"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46400</v>
      </c>
      <c r="U76" s="88">
        <f>IF(PRIORIDAD_UNO[[#This Row],[Fin Calidad]]="","",IF(ISBLANK(VLOOKUP(PRIORIDAD_UNO[[#This Row],[Nombre del requerimiento]],'Cálculos Manual'!A:L,12,FALSE)), WORKDAY(PRIORIDAD_UNO[[#This Row],[Fin Calidad]],5,FERIADOS[Fecha]), VLOOKUP(PRIORIDAD_UNO[[#This Row],[Nombre del requerimiento]],'Cálculos Manual'!A:L,12,FALSE)))</f>
        <v>46407</v>
      </c>
      <c r="V76"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46414</v>
      </c>
      <c r="W76" s="87">
        <f>IFERROR(PRIORIDAD_UNO[[#This Row],[Fin Producción]]-PRIORIDAD_UNO[[#This Row],[Comienzo Desarrollo]],"")</f>
        <v>177</v>
      </c>
      <c r="X76" s="132" t="str">
        <f>IF(ISBLANK(PRIORIDAD_UNO[[#This Row],[Comienzo Desarrollo]]),"Sin Fecha","Con Fecha")</f>
        <v>Con Fecha</v>
      </c>
      <c r="Y76" s="129" t="str">
        <f>IF(PRIORIDAD_UNO[[#This Row],[Esfuerzo Estimado Desarrollo]]="No definido","Sin esfuerzo","Con esfuerzo")</f>
        <v>Con esfuerzo</v>
      </c>
      <c r="Z76" s="162" t="str">
        <f ca="1">IF(ISBLANK(PRIORIDAD_UNO[[#This Row],[Comienzo Desarrollo]]),"🔵 Sin Fecha",
IF(PRIORIDAD_UNO[[#This Row],[Comienzo Desarrollo]]&lt;TODAY(),"🔴 Vencido",
IF(PRIORIDAD_UNO[[#This Row],[Comienzo Desarrollo]]=TODAY(),"🟡 Vence hoy",
IF((PRIORIDAD_UNO[[#This Row],[Comienzo Desarrollo]]-TODAY())&lt;=5,"🟠 Por vencer",
"🟢 A tiempo"))))</f>
        <v>🟢 A tiempo</v>
      </c>
      <c r="AA76" s="239" t="str">
        <f>IF(PRIORIDAD_UNO[[#This Row],[Comienzo Producción]]="","Por Definir",_xlfn.CONCAT(YEAR(PRIORIDAD_UNO[[#This Row],[Comienzo Producción]])," - ", MONTH(PRIORIDAD_UNO[[#This Row],[Comienzo Producción]])))</f>
        <v>2027 - 1</v>
      </c>
      <c r="AB76" s="101" t="s">
        <v>116</v>
      </c>
      <c r="AC76" s="154"/>
    </row>
    <row r="77" spans="1:29" s="29" customFormat="1" ht="33.75" customHeight="1">
      <c r="A77" s="217" t="s">
        <v>319</v>
      </c>
      <c r="B77" s="35">
        <v>1</v>
      </c>
      <c r="C77" s="35">
        <v>21</v>
      </c>
      <c r="D77" s="33" t="s">
        <v>29</v>
      </c>
      <c r="E77"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77" s="35" t="s">
        <v>66</v>
      </c>
      <c r="G77" s="35" t="s">
        <v>119</v>
      </c>
      <c r="H77" s="35" t="s">
        <v>278</v>
      </c>
      <c r="I77" s="32" t="s">
        <v>320</v>
      </c>
      <c r="J77" s="47" t="s">
        <v>35</v>
      </c>
      <c r="K77" s="33" t="s">
        <v>36</v>
      </c>
      <c r="L77" s="33" t="s">
        <v>37</v>
      </c>
      <c r="M77" s="33" t="s">
        <v>38</v>
      </c>
      <c r="N77" s="33" t="s">
        <v>280</v>
      </c>
      <c r="O77" s="33" t="s">
        <v>123</v>
      </c>
      <c r="P77" s="37" t="s">
        <v>321</v>
      </c>
      <c r="Q77" s="121">
        <v>46223</v>
      </c>
      <c r="R77"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46322</v>
      </c>
      <c r="S77" s="88">
        <f>IF(PRIORIDAD_UNO[[#This Row],[Fin Desarrollo]]="","",IF(ISBLANK(VLOOKUP(PRIORIDAD_UNO[[#This Row],[Nombre del requerimiento]],'Cálculos Manual'!A:H,8,FALSE)),WORKDAY(PRIORIDAD_UNO[[#This Row],[Fin Desarrollo]],5,FERIADOS[Fecha]), VLOOKUP(PRIORIDAD_UNO[[#This Row],[Nombre del requerimiento]],'Cálculos Manual'!A:H,8,FALSE)))</f>
        <v>46329</v>
      </c>
      <c r="T77"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46391</v>
      </c>
      <c r="U77" s="88">
        <f>IF(PRIORIDAD_UNO[[#This Row],[Fin Calidad]]="","",IF(ISBLANK(VLOOKUP(PRIORIDAD_UNO[[#This Row],[Nombre del requerimiento]],'Cálculos Manual'!A:L,12,FALSE)), WORKDAY(PRIORIDAD_UNO[[#This Row],[Fin Calidad]],5,FERIADOS[Fecha]), VLOOKUP(PRIORIDAD_UNO[[#This Row],[Nombre del requerimiento]],'Cálculos Manual'!A:L,12,FALSE)))</f>
        <v>46398</v>
      </c>
      <c r="V77"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46405</v>
      </c>
      <c r="W77" s="87">
        <f>IFERROR(PRIORIDAD_UNO[[#This Row],[Fin Producción]]-PRIORIDAD_UNO[[#This Row],[Comienzo Desarrollo]],"")</f>
        <v>182</v>
      </c>
      <c r="X77" s="132" t="str">
        <f>IF(ISBLANK(PRIORIDAD_UNO[[#This Row],[Comienzo Desarrollo]]),"Sin Fecha","Con Fecha")</f>
        <v>Con Fecha</v>
      </c>
      <c r="Y77" s="129" t="str">
        <f>IF(PRIORIDAD_UNO[[#This Row],[Esfuerzo Estimado Desarrollo]]="No definido","Sin esfuerzo","Con esfuerzo")</f>
        <v>Con esfuerzo</v>
      </c>
      <c r="Z77" s="15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77" s="239" t="str">
        <f>IF(PRIORIDAD_UNO[[#This Row],[Comienzo Producción]]="","Por Definir",_xlfn.CONCAT(YEAR(PRIORIDAD_UNO[[#This Row],[Comienzo Producción]])," - ", MONTH(PRIORIDAD_UNO[[#This Row],[Comienzo Producción]])))</f>
        <v>2027 - 1</v>
      </c>
      <c r="AB77" s="101">
        <v>3251</v>
      </c>
      <c r="AC77" s="154"/>
    </row>
    <row r="78" spans="1:29" s="29" customFormat="1" ht="33.75" customHeight="1">
      <c r="A78" s="217" t="s">
        <v>322</v>
      </c>
      <c r="B78" s="126">
        <v>1</v>
      </c>
      <c r="C78" s="126">
        <v>12</v>
      </c>
      <c r="D78" s="126" t="s">
        <v>29</v>
      </c>
      <c r="E78"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78" s="126" t="s">
        <v>31</v>
      </c>
      <c r="G78" s="126" t="s">
        <v>32</v>
      </c>
      <c r="H78" s="126" t="s">
        <v>33</v>
      </c>
      <c r="I78" s="125" t="s">
        <v>34</v>
      </c>
      <c r="J78" s="155" t="s">
        <v>35</v>
      </c>
      <c r="K78" s="126" t="s">
        <v>49</v>
      </c>
      <c r="L78" s="126" t="s">
        <v>37</v>
      </c>
      <c r="M78" s="126" t="s">
        <v>38</v>
      </c>
      <c r="N78" s="126" t="s">
        <v>50</v>
      </c>
      <c r="O78" s="126" t="s">
        <v>40</v>
      </c>
      <c r="P78" s="125"/>
      <c r="Q78" s="51">
        <v>46218</v>
      </c>
      <c r="R78"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46317</v>
      </c>
      <c r="S78" s="88">
        <f>IF(PRIORIDAD_UNO[[#This Row],[Fin Desarrollo]]="","",IF(ISBLANK(VLOOKUP(PRIORIDAD_UNO[[#This Row],[Nombre del requerimiento]],'Cálculos Manual'!A:H,8,FALSE)),WORKDAY(PRIORIDAD_UNO[[#This Row],[Fin Desarrollo]],5,FERIADOS[Fecha]), VLOOKUP(PRIORIDAD_UNO[[#This Row],[Nombre del requerimiento]],'Cálculos Manual'!A:H,8,FALSE)))</f>
        <v>46324</v>
      </c>
      <c r="T78"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46385</v>
      </c>
      <c r="U78" s="88">
        <f>IF(PRIORIDAD_UNO[[#This Row],[Fin Calidad]]="","",IF(ISBLANK(VLOOKUP(PRIORIDAD_UNO[[#This Row],[Nombre del requerimiento]],'Cálculos Manual'!A:L,12,FALSE)), WORKDAY(PRIORIDAD_UNO[[#This Row],[Fin Calidad]],5,FERIADOS[Fecha]), VLOOKUP(PRIORIDAD_UNO[[#This Row],[Nombre del requerimiento]],'Cálculos Manual'!A:L,12,FALSE)))</f>
        <v>46393</v>
      </c>
      <c r="V78"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46400</v>
      </c>
      <c r="W78" s="87">
        <f>IFERROR(PRIORIDAD_UNO[[#This Row],[Fin Producción]]-PRIORIDAD_UNO[[#This Row],[Comienzo Desarrollo]],"")</f>
        <v>182</v>
      </c>
      <c r="X78" s="132" t="str">
        <f>IF(ISBLANK(PRIORIDAD_UNO[[#This Row],[Comienzo Desarrollo]]),"Sin Fecha","Con Fecha")</f>
        <v>Con Fecha</v>
      </c>
      <c r="Y78" s="129" t="str">
        <f>IF(PRIORIDAD_UNO[[#This Row],[Esfuerzo Estimado Desarrollo]]="No definido","Sin esfuerzo","Con esfuerzo")</f>
        <v>Con esfuerzo</v>
      </c>
      <c r="Z78"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78" s="239" t="str">
        <f>IF(PRIORIDAD_UNO[[#This Row],[Comienzo Producción]]="","Por Definir",_xlfn.CONCAT(YEAR(PRIORIDAD_UNO[[#This Row],[Comienzo Producción]])," - ", MONTH(PRIORIDAD_UNO[[#This Row],[Comienzo Producción]])))</f>
        <v>2027 - 1</v>
      </c>
      <c r="AB78" s="101">
        <v>3345</v>
      </c>
      <c r="AC78" s="154"/>
    </row>
    <row r="79" spans="1:29" s="29" customFormat="1" ht="33.75" customHeight="1">
      <c r="A79" s="217" t="s">
        <v>323</v>
      </c>
      <c r="B79" s="164">
        <v>1</v>
      </c>
      <c r="C79" s="164">
        <v>35</v>
      </c>
      <c r="D79" s="164" t="s">
        <v>75</v>
      </c>
      <c r="E79"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79" s="126" t="s">
        <v>66</v>
      </c>
      <c r="G79" s="126" t="s">
        <v>119</v>
      </c>
      <c r="H79" s="164" t="s">
        <v>278</v>
      </c>
      <c r="I79" s="165" t="s">
        <v>324</v>
      </c>
      <c r="J79" s="164" t="s">
        <v>35</v>
      </c>
      <c r="K79" s="164" t="s">
        <v>54</v>
      </c>
      <c r="L79" s="126" t="s">
        <v>80</v>
      </c>
      <c r="M79" s="164" t="s">
        <v>38</v>
      </c>
      <c r="N79" s="164" t="s">
        <v>166</v>
      </c>
      <c r="O79" s="195" t="s">
        <v>123</v>
      </c>
      <c r="P79" s="198" t="s">
        <v>325</v>
      </c>
      <c r="Q79" s="49"/>
      <c r="R79" s="86"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79" s="86" t="str">
        <f>IF(PRIORIDAD_UNO[[#This Row],[Fin Desarrollo]]="","",IF(ISBLANK(VLOOKUP(PRIORIDAD_UNO[[#This Row],[Nombre del requerimiento]],'Cálculos Manual'!A:H,8,FALSE)),WORKDAY(PRIORIDAD_UNO[[#This Row],[Fin Desarrollo]],5,FERIADOS[Fecha]), VLOOKUP(PRIORIDAD_UNO[[#This Row],[Nombre del requerimiento]],'Cálculos Manual'!A:H,8,FALSE)))</f>
        <v/>
      </c>
      <c r="T79" s="86"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79" s="86" t="str">
        <f>IF(PRIORIDAD_UNO[[#This Row],[Fin Calidad]]="","",IF(ISBLANK(VLOOKUP(PRIORIDAD_UNO[[#This Row],[Nombre del requerimiento]],'Cálculos Manual'!A:L,12,FALSE)), WORKDAY(PRIORIDAD_UNO[[#This Row],[Fin Calidad]],5,FERIADOS[Fecha]), VLOOKUP(PRIORIDAD_UNO[[#This Row],[Nombre del requerimiento]],'Cálculos Manual'!A:L,12,FALSE)))</f>
        <v/>
      </c>
      <c r="V79" s="86"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79" s="85" t="str">
        <f>IFERROR(PRIORIDAD_UNO[[#This Row],[Fin Producción]]-PRIORIDAD_UNO[[#This Row],[Comienzo Desarrollo]],"")</f>
        <v/>
      </c>
      <c r="X79" s="132" t="str">
        <f>IF(ISBLANK(PRIORIDAD_UNO[[#This Row],[Comienzo Desarrollo]]),"Sin Fecha","Con Fecha")</f>
        <v>Sin Fecha</v>
      </c>
      <c r="Y79" s="129" t="str">
        <f>IF(PRIORIDAD_UNO[[#This Row],[Esfuerzo Estimado Desarrollo]]="No definido","Sin esfuerzo","Con esfuerzo")</f>
        <v>Sin esfuerzo</v>
      </c>
      <c r="Z79" s="157"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79" s="239" t="str">
        <f>IF(PRIORIDAD_UNO[[#This Row],[Comienzo Producción]]="","Por Definir",_xlfn.CONCAT(YEAR(PRIORIDAD_UNO[[#This Row],[Comienzo Producción]])," - ", MONTH(PRIORIDAD_UNO[[#This Row],[Comienzo Producción]])))</f>
        <v>Por Definir</v>
      </c>
      <c r="AB79" s="101">
        <v>3242</v>
      </c>
      <c r="AC79" s="154"/>
    </row>
    <row r="80" spans="1:29" s="29" customFormat="1" ht="33.75" customHeight="1">
      <c r="A80" s="163" t="s">
        <v>326</v>
      </c>
      <c r="B80" s="35">
        <v>1</v>
      </c>
      <c r="C80" s="35">
        <v>18</v>
      </c>
      <c r="D80" s="33" t="s">
        <v>46</v>
      </c>
      <c r="E80"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80" s="30" t="s">
        <v>66</v>
      </c>
      <c r="G80" s="30" t="s">
        <v>119</v>
      </c>
      <c r="H80" s="35" t="s">
        <v>120</v>
      </c>
      <c r="I80" s="36" t="s">
        <v>327</v>
      </c>
      <c r="J80" s="47" t="s">
        <v>35</v>
      </c>
      <c r="K80" s="33" t="s">
        <v>36</v>
      </c>
      <c r="L80" s="33" t="s">
        <v>37</v>
      </c>
      <c r="M80" s="33" t="s">
        <v>38</v>
      </c>
      <c r="N80" s="33" t="s">
        <v>328</v>
      </c>
      <c r="O80" s="196" t="s">
        <v>123</v>
      </c>
      <c r="P80" s="37" t="s">
        <v>329</v>
      </c>
      <c r="Q80" s="123">
        <v>46209</v>
      </c>
      <c r="R80" s="84">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46372</v>
      </c>
      <c r="S80" s="84">
        <f>IF(PRIORIDAD_UNO[[#This Row],[Fin Desarrollo]]="","",IF(ISBLANK(VLOOKUP(PRIORIDAD_UNO[[#This Row],[Nombre del requerimiento]],'Cálculos Manual'!A:H,8,FALSE)),WORKDAY(PRIORIDAD_UNO[[#This Row],[Fin Desarrollo]],5,FERIADOS[Fecha]), VLOOKUP(PRIORIDAD_UNO[[#This Row],[Nombre del requerimiento]],'Cálculos Manual'!A:H,8,FALSE)))</f>
        <v>46379</v>
      </c>
      <c r="T80" s="84">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46451</v>
      </c>
      <c r="U80" s="84">
        <f>IF(PRIORIDAD_UNO[[#This Row],[Fin Calidad]]="","",IF(ISBLANK(VLOOKUP(PRIORIDAD_UNO[[#This Row],[Nombre del requerimiento]],'Cálculos Manual'!A:L,12,FALSE)), WORKDAY(PRIORIDAD_UNO[[#This Row],[Fin Calidad]],5,FERIADOS[Fecha]), VLOOKUP(PRIORIDAD_UNO[[#This Row],[Nombre del requerimiento]],'Cálculos Manual'!A:L,12,FALSE)))</f>
        <v>46458</v>
      </c>
      <c r="V80" s="84">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46476</v>
      </c>
      <c r="W80" s="83">
        <f>IFERROR(PRIORIDAD_UNO[[#This Row],[Fin Producción]]-PRIORIDAD_UNO[[#This Row],[Comienzo Desarrollo]],"")</f>
        <v>267</v>
      </c>
      <c r="X80" s="132" t="str">
        <f>IF(ISBLANK(PRIORIDAD_UNO[[#This Row],[Comienzo Desarrollo]]),"Sin Fecha","Con Fecha")</f>
        <v>Con Fecha</v>
      </c>
      <c r="Y80" s="129" t="str">
        <f>IF(PRIORIDAD_UNO[[#This Row],[Esfuerzo Estimado Desarrollo]]="No definido","Sin esfuerzo","Con esfuerzo")</f>
        <v>Con esfuerzo</v>
      </c>
      <c r="Z80"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80" s="239" t="str">
        <f>IF(PRIORIDAD_UNO[[#This Row],[Comienzo Producción]]="","Por Definir",_xlfn.CONCAT(YEAR(PRIORIDAD_UNO[[#This Row],[Comienzo Producción]])," - ", MONTH(PRIORIDAD_UNO[[#This Row],[Comienzo Producción]])))</f>
        <v>2027 - 3</v>
      </c>
      <c r="AB80" s="101" t="s">
        <v>116</v>
      </c>
      <c r="AC80" s="154"/>
    </row>
    <row r="81" spans="1:29" s="29" customFormat="1" ht="33.75" customHeight="1">
      <c r="A81" s="217" t="s">
        <v>330</v>
      </c>
      <c r="B81" s="35">
        <v>1</v>
      </c>
      <c r="C81" s="35">
        <v>17</v>
      </c>
      <c r="D81" s="33" t="s">
        <v>46</v>
      </c>
      <c r="E81"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81" s="30" t="s">
        <v>66</v>
      </c>
      <c r="G81" s="30" t="s">
        <v>119</v>
      </c>
      <c r="H81" s="35" t="s">
        <v>120</v>
      </c>
      <c r="I81" s="36" t="s">
        <v>331</v>
      </c>
      <c r="J81" s="47" t="s">
        <v>35</v>
      </c>
      <c r="K81" s="33" t="s">
        <v>36</v>
      </c>
      <c r="L81" s="33" t="s">
        <v>37</v>
      </c>
      <c r="M81" s="33" t="s">
        <v>38</v>
      </c>
      <c r="N81" s="33" t="s">
        <v>332</v>
      </c>
      <c r="O81" s="33" t="s">
        <v>123</v>
      </c>
      <c r="P81" s="37" t="s">
        <v>333</v>
      </c>
      <c r="Q81" s="123">
        <v>46209</v>
      </c>
      <c r="R81" s="84">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46372</v>
      </c>
      <c r="S81" s="84">
        <f>IF(PRIORIDAD_UNO[[#This Row],[Fin Desarrollo]]="","",IF(ISBLANK(VLOOKUP(PRIORIDAD_UNO[[#This Row],[Nombre del requerimiento]],'Cálculos Manual'!A:H,8,FALSE)),WORKDAY(PRIORIDAD_UNO[[#This Row],[Fin Desarrollo]],5,FERIADOS[Fecha]), VLOOKUP(PRIORIDAD_UNO[[#This Row],[Nombre del requerimiento]],'Cálculos Manual'!A:H,8,FALSE)))</f>
        <v>46379</v>
      </c>
      <c r="T81" s="84">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46451</v>
      </c>
      <c r="U81" s="84">
        <f>IF(PRIORIDAD_UNO[[#This Row],[Fin Calidad]]="","",IF(ISBLANK(VLOOKUP(PRIORIDAD_UNO[[#This Row],[Nombre del requerimiento]],'Cálculos Manual'!A:L,12,FALSE)), WORKDAY(PRIORIDAD_UNO[[#This Row],[Fin Calidad]],5,FERIADOS[Fecha]), VLOOKUP(PRIORIDAD_UNO[[#This Row],[Nombre del requerimiento]],'Cálculos Manual'!A:L,12,FALSE)))</f>
        <v>46458</v>
      </c>
      <c r="V81" s="84">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46476</v>
      </c>
      <c r="W81" s="83">
        <f>IFERROR(PRIORIDAD_UNO[[#This Row],[Fin Producción]]-PRIORIDAD_UNO[[#This Row],[Comienzo Desarrollo]],"")</f>
        <v>267</v>
      </c>
      <c r="X81" s="132" t="str">
        <f>IF(ISBLANK(PRIORIDAD_UNO[[#This Row],[Comienzo Desarrollo]]),"Sin Fecha","Con Fecha")</f>
        <v>Con Fecha</v>
      </c>
      <c r="Y81" s="129" t="str">
        <f>IF(PRIORIDAD_UNO[[#This Row],[Esfuerzo Estimado Desarrollo]]="No definido","Sin esfuerzo","Con esfuerzo")</f>
        <v>Con esfuerzo</v>
      </c>
      <c r="Z81"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81" s="239" t="str">
        <f>IF(PRIORIDAD_UNO[[#This Row],[Comienzo Producción]]="","Por Definir",_xlfn.CONCAT(YEAR(PRIORIDAD_UNO[[#This Row],[Comienzo Producción]])," - ", MONTH(PRIORIDAD_UNO[[#This Row],[Comienzo Producción]])))</f>
        <v>2027 - 3</v>
      </c>
      <c r="AB81" s="101" t="s">
        <v>116</v>
      </c>
      <c r="AC81" s="154"/>
    </row>
    <row r="82" spans="1:29" s="29" customFormat="1" ht="33.75" customHeight="1">
      <c r="A82" s="217" t="s">
        <v>334</v>
      </c>
      <c r="B82" s="30">
        <v>1</v>
      </c>
      <c r="C82" s="30">
        <v>3</v>
      </c>
      <c r="D82" s="31" t="s">
        <v>162</v>
      </c>
      <c r="E82"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82" s="35" t="s">
        <v>66</v>
      </c>
      <c r="G82" s="35" t="s">
        <v>119</v>
      </c>
      <c r="H82" s="30" t="s">
        <v>120</v>
      </c>
      <c r="I82" s="32" t="s">
        <v>335</v>
      </c>
      <c r="J82" s="47" t="s">
        <v>35</v>
      </c>
      <c r="K82" s="31" t="s">
        <v>36</v>
      </c>
      <c r="L82" s="31" t="s">
        <v>37</v>
      </c>
      <c r="M82" s="31" t="s">
        <v>38</v>
      </c>
      <c r="N82" s="31" t="s">
        <v>39</v>
      </c>
      <c r="O82" s="31" t="s">
        <v>123</v>
      </c>
      <c r="P82" s="34" t="s">
        <v>336</v>
      </c>
      <c r="Q82" s="121">
        <v>46237</v>
      </c>
      <c r="R82"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46331</v>
      </c>
      <c r="S82" s="88">
        <f>IF(PRIORIDAD_UNO[[#This Row],[Fin Desarrollo]]="","",IF(ISBLANK(VLOOKUP(PRIORIDAD_UNO[[#This Row],[Nombre del requerimiento]],'Cálculos Manual'!A:H,8,FALSE)),WORKDAY(PRIORIDAD_UNO[[#This Row],[Fin Desarrollo]],5,FERIADOS[Fecha]), VLOOKUP(PRIORIDAD_UNO[[#This Row],[Nombre del requerimiento]],'Cálculos Manual'!A:H,8,FALSE)))</f>
        <v>46338</v>
      </c>
      <c r="T82"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46400</v>
      </c>
      <c r="U82" s="88">
        <f>IF(PRIORIDAD_UNO[[#This Row],[Fin Calidad]]="","",IF(ISBLANK(VLOOKUP(PRIORIDAD_UNO[[#This Row],[Nombre del requerimiento]],'Cálculos Manual'!A:L,12,FALSE)), WORKDAY(PRIORIDAD_UNO[[#This Row],[Fin Calidad]],5,FERIADOS[Fecha]), VLOOKUP(PRIORIDAD_UNO[[#This Row],[Nombre del requerimiento]],'Cálculos Manual'!A:L,12,FALSE)))</f>
        <v>46407</v>
      </c>
      <c r="V82"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46414</v>
      </c>
      <c r="W82" s="87">
        <f>IFERROR(PRIORIDAD_UNO[[#This Row],[Fin Producción]]-PRIORIDAD_UNO[[#This Row],[Comienzo Desarrollo]],"")</f>
        <v>177</v>
      </c>
      <c r="X82" s="132" t="str">
        <f>IF(ISBLANK(PRIORIDAD_UNO[[#This Row],[Comienzo Desarrollo]]),"Sin Fecha","Con Fecha")</f>
        <v>Con Fecha</v>
      </c>
      <c r="Y82" s="129" t="str">
        <f>IF(PRIORIDAD_UNO[[#This Row],[Esfuerzo Estimado Desarrollo]]="No definido","Sin esfuerzo","Con esfuerzo")</f>
        <v>Con esfuerzo</v>
      </c>
      <c r="Z82" s="162" t="str">
        <f ca="1">IF(ISBLANK(PRIORIDAD_UNO[[#This Row],[Comienzo Desarrollo]]),"🔵 Sin Fecha",
IF(PRIORIDAD_UNO[[#This Row],[Comienzo Desarrollo]]&lt;TODAY(),"🔴 Vencido",
IF(PRIORIDAD_UNO[[#This Row],[Comienzo Desarrollo]]=TODAY(),"🟡 Vence hoy",
IF((PRIORIDAD_UNO[[#This Row],[Comienzo Desarrollo]]-TODAY())&lt;=5,"🟠 Por vencer",
"🟢 A tiempo"))))</f>
        <v>🟢 A tiempo</v>
      </c>
      <c r="AA82" s="239" t="str">
        <f>IF(PRIORIDAD_UNO[[#This Row],[Comienzo Producción]]="","Por Definir",_xlfn.CONCAT(YEAR(PRIORIDAD_UNO[[#This Row],[Comienzo Producción]])," - ", MONTH(PRIORIDAD_UNO[[#This Row],[Comienzo Producción]])))</f>
        <v>2027 - 1</v>
      </c>
      <c r="AB82" s="101" t="s">
        <v>116</v>
      </c>
      <c r="AC82" s="154"/>
    </row>
    <row r="83" spans="1:29" s="29" customFormat="1" ht="33.75" customHeight="1">
      <c r="A83" s="163" t="s">
        <v>337</v>
      </c>
      <c r="B83" s="30">
        <v>1</v>
      </c>
      <c r="C83" s="30">
        <v>26</v>
      </c>
      <c r="D83" s="31" t="s">
        <v>29</v>
      </c>
      <c r="E83"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83" s="35" t="s">
        <v>66</v>
      </c>
      <c r="G83" s="35" t="s">
        <v>172</v>
      </c>
      <c r="H83" s="30" t="s">
        <v>338</v>
      </c>
      <c r="I83" s="32" t="s">
        <v>339</v>
      </c>
      <c r="J83" s="47" t="s">
        <v>35</v>
      </c>
      <c r="K83" s="31" t="s">
        <v>36</v>
      </c>
      <c r="L83" s="31" t="s">
        <v>37</v>
      </c>
      <c r="M83" s="31" t="s">
        <v>38</v>
      </c>
      <c r="N83" s="31" t="s">
        <v>340</v>
      </c>
      <c r="O83" s="31" t="s">
        <v>123</v>
      </c>
      <c r="P83" s="34"/>
      <c r="Q83" s="121">
        <v>46300</v>
      </c>
      <c r="R83"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46399</v>
      </c>
      <c r="S83" s="88">
        <f>IF(PRIORIDAD_UNO[[#This Row],[Fin Desarrollo]]="","",IF(ISBLANK(VLOOKUP(PRIORIDAD_UNO[[#This Row],[Nombre del requerimiento]],'Cálculos Manual'!A:H,8,FALSE)),WORKDAY(PRIORIDAD_UNO[[#This Row],[Fin Desarrollo]],5,FERIADOS[Fecha]), VLOOKUP(PRIORIDAD_UNO[[#This Row],[Nombre del requerimiento]],'Cálculos Manual'!A:H,8,FALSE)))</f>
        <v>46406</v>
      </c>
      <c r="T83"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46462</v>
      </c>
      <c r="U83" s="88">
        <f>IF(PRIORIDAD_UNO[[#This Row],[Fin Calidad]]="","",IF(ISBLANK(VLOOKUP(PRIORIDAD_UNO[[#This Row],[Nombre del requerimiento]],'Cálculos Manual'!A:L,12,FALSE)), WORKDAY(PRIORIDAD_UNO[[#This Row],[Fin Calidad]],5,FERIADOS[Fecha]), VLOOKUP(PRIORIDAD_UNO[[#This Row],[Nombre del requerimiento]],'Cálculos Manual'!A:L,12,FALSE)))</f>
        <v>46469</v>
      </c>
      <c r="V83"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46478</v>
      </c>
      <c r="W83" s="87">
        <f>IFERROR(PRIORIDAD_UNO[[#This Row],[Fin Producción]]-PRIORIDAD_UNO[[#This Row],[Comienzo Desarrollo]],"")</f>
        <v>178</v>
      </c>
      <c r="X83" s="132" t="str">
        <f>IF(ISBLANK(PRIORIDAD_UNO[[#This Row],[Comienzo Desarrollo]]),"Sin Fecha","Con Fecha")</f>
        <v>Con Fecha</v>
      </c>
      <c r="Y83" s="129" t="str">
        <f>IF(PRIORIDAD_UNO[[#This Row],[Esfuerzo Estimado Desarrollo]]="No definido","Sin esfuerzo","Con esfuerzo")</f>
        <v>Con esfuerzo</v>
      </c>
      <c r="Z83"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83" s="239" t="str">
        <f>IF(PRIORIDAD_UNO[[#This Row],[Comienzo Producción]]="","Por Definir",_xlfn.CONCAT(YEAR(PRIORIDAD_UNO[[#This Row],[Comienzo Producción]])," - ", MONTH(PRIORIDAD_UNO[[#This Row],[Comienzo Producción]])))</f>
        <v>2027 - 3</v>
      </c>
      <c r="AB83" s="101" t="s">
        <v>116</v>
      </c>
      <c r="AC83" s="154"/>
    </row>
    <row r="84" spans="1:29" s="29" customFormat="1" ht="33.75" customHeight="1">
      <c r="A84" s="163" t="s">
        <v>341</v>
      </c>
      <c r="B84" s="126">
        <v>1</v>
      </c>
      <c r="C84" s="126">
        <v>11</v>
      </c>
      <c r="D84" s="126" t="s">
        <v>113</v>
      </c>
      <c r="E84"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84" s="155" t="s">
        <v>68</v>
      </c>
      <c r="G84" s="155" t="s">
        <v>129</v>
      </c>
      <c r="H84" s="126" t="s">
        <v>204</v>
      </c>
      <c r="I84" s="125" t="s">
        <v>60</v>
      </c>
      <c r="J84" s="126" t="s">
        <v>35</v>
      </c>
      <c r="K84" s="126" t="s">
        <v>36</v>
      </c>
      <c r="L84" s="126" t="s">
        <v>37</v>
      </c>
      <c r="M84" s="126" t="s">
        <v>38</v>
      </c>
      <c r="N84" s="126" t="s">
        <v>239</v>
      </c>
      <c r="O84" s="126" t="s">
        <v>132</v>
      </c>
      <c r="P84" s="125"/>
      <c r="Q84" s="51">
        <v>46204</v>
      </c>
      <c r="R84"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46252</v>
      </c>
      <c r="S84" s="88">
        <f>IF(PRIORIDAD_UNO[[#This Row],[Fin Desarrollo]]="","",IF(ISBLANK(VLOOKUP(PRIORIDAD_UNO[[#This Row],[Nombre del requerimiento]],'Cálculos Manual'!A:H,8,FALSE)),WORKDAY(PRIORIDAD_UNO[[#This Row],[Fin Desarrollo]],5,FERIADOS[Fecha]), VLOOKUP(PRIORIDAD_UNO[[#This Row],[Nombre del requerimiento]],'Cálculos Manual'!A:H,8,FALSE)))</f>
        <v>46259</v>
      </c>
      <c r="T84"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46301</v>
      </c>
      <c r="U84" s="88">
        <f>IF(PRIORIDAD_UNO[[#This Row],[Fin Calidad]]="","",IF(ISBLANK(VLOOKUP(PRIORIDAD_UNO[[#This Row],[Nombre del requerimiento]],'Cálculos Manual'!A:L,12,FALSE)), WORKDAY(PRIORIDAD_UNO[[#This Row],[Fin Calidad]],5,FERIADOS[Fecha]), VLOOKUP(PRIORIDAD_UNO[[#This Row],[Nombre del requerimiento]],'Cálculos Manual'!A:L,12,FALSE)))</f>
        <v>46309</v>
      </c>
      <c r="V84"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46316</v>
      </c>
      <c r="W84" s="87">
        <f>IFERROR(PRIORIDAD_UNO[[#This Row],[Fin Producción]]-PRIORIDAD_UNO[[#This Row],[Comienzo Desarrollo]],"")</f>
        <v>112</v>
      </c>
      <c r="X84" s="132" t="str">
        <f>IF(ISBLANK(PRIORIDAD_UNO[[#This Row],[Comienzo Desarrollo]]),"Sin Fecha","Con Fecha")</f>
        <v>Con Fecha</v>
      </c>
      <c r="Y84" s="129" t="str">
        <f>IF(PRIORIDAD_UNO[[#This Row],[Esfuerzo Estimado Desarrollo]]="No definido","Sin esfuerzo","Con esfuerzo")</f>
        <v>Con esfuerzo</v>
      </c>
      <c r="Z84" s="157" t="str">
        <f ca="1">IF(ISBLANK(PRIORIDAD_UNO[[#This Row],[Comienzo Desarrollo]]),"🔵 Sin Fecha",
IF(PRIORIDAD_UNO[[#This Row],[Comienzo Desarrollo]]&lt;TODAY(),"🔴 Vencido",
IF(PRIORIDAD_UNO[[#This Row],[Comienzo Desarrollo]]=TODAY(),"🟡 Vence hoy",
IF((PRIORIDAD_UNO[[#This Row],[Comienzo Desarrollo]]-TODAY())&lt;=5,"🟠 Por vencer",
"🟢 A tiempo"))))</f>
        <v>🟢 A tiempo</v>
      </c>
      <c r="AA84" s="239" t="str">
        <f>IF(PRIORIDAD_UNO[[#This Row],[Comienzo Producción]]="","Por Definir",_xlfn.CONCAT(YEAR(PRIORIDAD_UNO[[#This Row],[Comienzo Producción]])," - ", MONTH(PRIORIDAD_UNO[[#This Row],[Comienzo Producción]])))</f>
        <v>2026 - 10</v>
      </c>
      <c r="AB84" s="101" t="s">
        <v>116</v>
      </c>
      <c r="AC84" s="154"/>
    </row>
    <row r="85" spans="1:29" s="29" customFormat="1" ht="33.75" customHeight="1">
      <c r="A85" s="217" t="s">
        <v>342</v>
      </c>
      <c r="B85" s="30">
        <v>1</v>
      </c>
      <c r="C85" s="30">
        <v>6</v>
      </c>
      <c r="D85" s="31" t="s">
        <v>162</v>
      </c>
      <c r="E85"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85" s="30" t="s">
        <v>66</v>
      </c>
      <c r="G85" s="30" t="s">
        <v>172</v>
      </c>
      <c r="H85" s="30" t="s">
        <v>338</v>
      </c>
      <c r="I85" s="32" t="s">
        <v>343</v>
      </c>
      <c r="J85" s="47" t="s">
        <v>35</v>
      </c>
      <c r="K85" s="31" t="s">
        <v>36</v>
      </c>
      <c r="L85" s="31" t="s">
        <v>37</v>
      </c>
      <c r="M85" s="31" t="s">
        <v>38</v>
      </c>
      <c r="N85" s="31" t="s">
        <v>280</v>
      </c>
      <c r="O85" s="31" t="s">
        <v>123</v>
      </c>
      <c r="P85" s="112" t="s">
        <v>268</v>
      </c>
      <c r="Q85" s="121">
        <v>46251</v>
      </c>
      <c r="R85"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46344</v>
      </c>
      <c r="S85" s="88">
        <f>IF(PRIORIDAD_UNO[[#This Row],[Fin Desarrollo]]="","",IF(ISBLANK(VLOOKUP(PRIORIDAD_UNO[[#This Row],[Nombre del requerimiento]],'Cálculos Manual'!A:H,8,FALSE)),WORKDAY(PRIORIDAD_UNO[[#This Row],[Fin Desarrollo]],5,FERIADOS[Fecha]), VLOOKUP(PRIORIDAD_UNO[[#This Row],[Nombre del requerimiento]],'Cálculos Manual'!A:H,8,FALSE)))</f>
        <v>46351</v>
      </c>
      <c r="T85"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46413</v>
      </c>
      <c r="U85" s="88">
        <f>IF(PRIORIDAD_UNO[[#This Row],[Fin Calidad]]="","",IF(ISBLANK(VLOOKUP(PRIORIDAD_UNO[[#This Row],[Nombre del requerimiento]],'Cálculos Manual'!A:L,12,FALSE)), WORKDAY(PRIORIDAD_UNO[[#This Row],[Fin Calidad]],5,FERIADOS[Fecha]), VLOOKUP(PRIORIDAD_UNO[[#This Row],[Nombre del requerimiento]],'Cálculos Manual'!A:L,12,FALSE)))</f>
        <v>46420</v>
      </c>
      <c r="V85"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46427</v>
      </c>
      <c r="W85" s="87">
        <f>IFERROR(PRIORIDAD_UNO[[#This Row],[Fin Producción]]-PRIORIDAD_UNO[[#This Row],[Comienzo Desarrollo]],"")</f>
        <v>176</v>
      </c>
      <c r="X85" s="132" t="str">
        <f>IF(ISBLANK(PRIORIDAD_UNO[[#This Row],[Comienzo Desarrollo]]),"Sin Fecha","Con Fecha")</f>
        <v>Con Fecha</v>
      </c>
      <c r="Y85" s="129" t="str">
        <f>IF(PRIORIDAD_UNO[[#This Row],[Esfuerzo Estimado Desarrollo]]="No definido","Sin esfuerzo","Con esfuerzo")</f>
        <v>Con esfuerzo</v>
      </c>
      <c r="Z85"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85" s="239" t="str">
        <f>IF(PRIORIDAD_UNO[[#This Row],[Comienzo Producción]]="","Por Definir",_xlfn.CONCAT(YEAR(PRIORIDAD_UNO[[#This Row],[Comienzo Producción]])," - ", MONTH(PRIORIDAD_UNO[[#This Row],[Comienzo Producción]])))</f>
        <v>2027 - 2</v>
      </c>
      <c r="AB85" s="101">
        <v>3225</v>
      </c>
      <c r="AC85" s="154"/>
    </row>
    <row r="86" spans="1:29" s="29" customFormat="1" ht="33.75" customHeight="1">
      <c r="A86" s="163" t="s">
        <v>344</v>
      </c>
      <c r="B86" s="30">
        <v>1</v>
      </c>
      <c r="C86" s="30">
        <v>1</v>
      </c>
      <c r="D86" s="31" t="s">
        <v>29</v>
      </c>
      <c r="E86"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86" s="35" t="s">
        <v>66</v>
      </c>
      <c r="G86" s="35" t="s">
        <v>119</v>
      </c>
      <c r="H86" s="30" t="s">
        <v>120</v>
      </c>
      <c r="I86" s="32" t="s">
        <v>345</v>
      </c>
      <c r="J86" s="47" t="s">
        <v>35</v>
      </c>
      <c r="K86" s="31" t="s">
        <v>36</v>
      </c>
      <c r="L86" s="31" t="s">
        <v>37</v>
      </c>
      <c r="M86" s="31" t="s">
        <v>55</v>
      </c>
      <c r="N86" s="31" t="s">
        <v>56</v>
      </c>
      <c r="O86" s="31" t="s">
        <v>123</v>
      </c>
      <c r="P86" s="34"/>
      <c r="Q86" s="121">
        <v>46188</v>
      </c>
      <c r="R86"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46287</v>
      </c>
      <c r="S86" s="88">
        <f>IF(PRIORIDAD_UNO[[#This Row],[Fin Desarrollo]]="","",IF(ISBLANK(VLOOKUP(PRIORIDAD_UNO[[#This Row],[Nombre del requerimiento]],'Cálculos Manual'!A:H,8,FALSE)),WORKDAY(PRIORIDAD_UNO[[#This Row],[Fin Desarrollo]],5,FERIADOS[Fecha]), VLOOKUP(PRIORIDAD_UNO[[#This Row],[Nombre del requerimiento]],'Cálculos Manual'!A:H,8,FALSE)))</f>
        <v>46294</v>
      </c>
      <c r="T86"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46351</v>
      </c>
      <c r="U86" s="88">
        <f>IF(PRIORIDAD_UNO[[#This Row],[Fin Calidad]]="","",IF(ISBLANK(VLOOKUP(PRIORIDAD_UNO[[#This Row],[Nombre del requerimiento]],'Cálculos Manual'!A:L,12,FALSE)), WORKDAY(PRIORIDAD_UNO[[#This Row],[Fin Calidad]],5,FERIADOS[Fecha]), VLOOKUP(PRIORIDAD_UNO[[#This Row],[Nombre del requerimiento]],'Cálculos Manual'!A:L,12,FALSE)))</f>
        <v>46358</v>
      </c>
      <c r="V86"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46367</v>
      </c>
      <c r="W86" s="87">
        <f>IFERROR(PRIORIDAD_UNO[[#This Row],[Fin Producción]]-PRIORIDAD_UNO[[#This Row],[Comienzo Desarrollo]],"")</f>
        <v>179</v>
      </c>
      <c r="X86" s="132" t="str">
        <f>IF(ISBLANK(PRIORIDAD_UNO[[#This Row],[Comienzo Desarrollo]]),"Sin Fecha","Con Fecha")</f>
        <v>Con Fecha</v>
      </c>
      <c r="Y86" s="129" t="str">
        <f>IF(PRIORIDAD_UNO[[#This Row],[Esfuerzo Estimado Desarrollo]]="No definido","Sin esfuerzo","Con esfuerzo")</f>
        <v>Con esfuerzo</v>
      </c>
      <c r="Z86" s="133" t="str">
        <f ca="1">IF(ISBLANK(PRIORIDAD_UNO[[#This Row],[Comienzo Desarrollo]]),"🔵 Sin Fecha",
IF(PRIORIDAD_UNO[[#This Row],[Comienzo Desarrollo]]&lt;TODAY(),"🔴 Vencido",
IF(PRIORIDAD_UNO[[#This Row],[Comienzo Desarrollo]]=TODAY(),"🟡 Vence hoy",
IF((PRIORIDAD_UNO[[#This Row],[Comienzo Desarrollo]]-TODAY())&lt;=5,"🟠 Por vencer",
"🟢 A tiempo"))))</f>
        <v>🟠 Por vencer</v>
      </c>
      <c r="AA86" s="239" t="str">
        <f>IF(PRIORIDAD_UNO[[#This Row],[Comienzo Producción]]="","Por Definir",_xlfn.CONCAT(YEAR(PRIORIDAD_UNO[[#This Row],[Comienzo Producción]])," - ", MONTH(PRIORIDAD_UNO[[#This Row],[Comienzo Producción]])))</f>
        <v>2026 - 12</v>
      </c>
      <c r="AB86" s="101" t="s">
        <v>116</v>
      </c>
      <c r="AC86" s="154"/>
    </row>
    <row r="87" spans="1:29" s="29" customFormat="1" ht="33.75" customHeight="1">
      <c r="A87" s="163" t="s">
        <v>346</v>
      </c>
      <c r="B87" s="126">
        <v>1</v>
      </c>
      <c r="C87" s="126">
        <v>13</v>
      </c>
      <c r="D87" s="126" t="s">
        <v>162</v>
      </c>
      <c r="E87"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87" s="155" t="s">
        <v>68</v>
      </c>
      <c r="G87" s="155" t="s">
        <v>129</v>
      </c>
      <c r="H87" s="126" t="s">
        <v>298</v>
      </c>
      <c r="I87" s="125" t="s">
        <v>60</v>
      </c>
      <c r="J87" s="47" t="s">
        <v>35</v>
      </c>
      <c r="K87" s="126" t="s">
        <v>63</v>
      </c>
      <c r="L87" s="126" t="s">
        <v>37</v>
      </c>
      <c r="M87" s="126" t="s">
        <v>38</v>
      </c>
      <c r="N87" s="126" t="s">
        <v>299</v>
      </c>
      <c r="O87" s="126" t="s">
        <v>132</v>
      </c>
      <c r="P87" s="125"/>
      <c r="Q87" s="51">
        <v>46329</v>
      </c>
      <c r="R87"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46427</v>
      </c>
      <c r="S87" s="88">
        <f>IF(PRIORIDAD_UNO[[#This Row],[Fin Desarrollo]]="","",IF(ISBLANK(VLOOKUP(PRIORIDAD_UNO[[#This Row],[Nombre del requerimiento]],'Cálculos Manual'!A:H,8,FALSE)),WORKDAY(PRIORIDAD_UNO[[#This Row],[Fin Desarrollo]],5,FERIADOS[Fecha]), VLOOKUP(PRIORIDAD_UNO[[#This Row],[Nombre del requerimiento]],'Cálculos Manual'!A:H,8,FALSE)))</f>
        <v>46434</v>
      </c>
      <c r="T87"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46492</v>
      </c>
      <c r="U87" s="88">
        <f>IF(PRIORIDAD_UNO[[#This Row],[Fin Calidad]]="","",IF(ISBLANK(VLOOKUP(PRIORIDAD_UNO[[#This Row],[Nombre del requerimiento]],'Cálculos Manual'!A:L,12,FALSE)), WORKDAY(PRIORIDAD_UNO[[#This Row],[Fin Calidad]],5,FERIADOS[Fecha]), VLOOKUP(PRIORIDAD_UNO[[#This Row],[Nombre del requerimiento]],'Cálculos Manual'!A:L,12,FALSE)))</f>
        <v>46499</v>
      </c>
      <c r="V87"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46506</v>
      </c>
      <c r="W87" s="87">
        <f>IFERROR(PRIORIDAD_UNO[[#This Row],[Fin Producción]]-PRIORIDAD_UNO[[#This Row],[Comienzo Desarrollo]],"")</f>
        <v>177</v>
      </c>
      <c r="X87" s="132" t="str">
        <f>IF(ISBLANK(PRIORIDAD_UNO[[#This Row],[Comienzo Desarrollo]]),"Sin Fecha","Con Fecha")</f>
        <v>Con Fecha</v>
      </c>
      <c r="Y87" s="129" t="str">
        <f>IF(PRIORIDAD_UNO[[#This Row],[Esfuerzo Estimado Desarrollo]]="No definido","Sin esfuerzo","Con esfuerzo")</f>
        <v>Con esfuerzo</v>
      </c>
      <c r="Z87"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87" s="239" t="str">
        <f>IF(PRIORIDAD_UNO[[#This Row],[Comienzo Producción]]="","Por Definir",_xlfn.CONCAT(YEAR(PRIORIDAD_UNO[[#This Row],[Comienzo Producción]])," - ", MONTH(PRIORIDAD_UNO[[#This Row],[Comienzo Producción]])))</f>
        <v>2027 - 4</v>
      </c>
      <c r="AB87" s="101" t="s">
        <v>116</v>
      </c>
      <c r="AC87" s="154"/>
    </row>
    <row r="88" spans="1:29" s="29" customFormat="1" ht="33.75" customHeight="1">
      <c r="A88" s="217" t="s">
        <v>347</v>
      </c>
      <c r="B88" s="126">
        <v>1</v>
      </c>
      <c r="C88" s="126">
        <v>8</v>
      </c>
      <c r="D88" s="126" t="s">
        <v>348</v>
      </c>
      <c r="E88"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88" s="155" t="s">
        <v>31</v>
      </c>
      <c r="G88" s="155" t="s">
        <v>32</v>
      </c>
      <c r="H88" s="126" t="s">
        <v>33</v>
      </c>
      <c r="I88" s="125" t="s">
        <v>349</v>
      </c>
      <c r="J88" s="126" t="s">
        <v>35</v>
      </c>
      <c r="K88" s="126" t="s">
        <v>49</v>
      </c>
      <c r="L88" s="126" t="s">
        <v>37</v>
      </c>
      <c r="M88" s="126" t="s">
        <v>38</v>
      </c>
      <c r="N88" s="126" t="s">
        <v>50</v>
      </c>
      <c r="O88" s="126" t="s">
        <v>40</v>
      </c>
      <c r="P88" s="125" t="s">
        <v>105</v>
      </c>
      <c r="Q88" s="51">
        <v>46249</v>
      </c>
      <c r="R88"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46409</v>
      </c>
      <c r="S88" s="88">
        <f>IF(PRIORIDAD_UNO[[#This Row],[Fin Desarrollo]]="","",IF(ISBLANK(VLOOKUP(PRIORIDAD_UNO[[#This Row],[Nombre del requerimiento]],'Cálculos Manual'!A:H,8,FALSE)),WORKDAY(PRIORIDAD_UNO[[#This Row],[Fin Desarrollo]],5,FERIADOS[Fecha]), VLOOKUP(PRIORIDAD_UNO[[#This Row],[Nombre del requerimiento]],'Cálculos Manual'!A:H,8,FALSE)))</f>
        <v>46416</v>
      </c>
      <c r="T88"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46490</v>
      </c>
      <c r="U88" s="88">
        <f>IF(PRIORIDAD_UNO[[#This Row],[Fin Calidad]]="","",IF(ISBLANK(VLOOKUP(PRIORIDAD_UNO[[#This Row],[Nombre del requerimiento]],'Cálculos Manual'!A:L,12,FALSE)), WORKDAY(PRIORIDAD_UNO[[#This Row],[Fin Calidad]],5,FERIADOS[Fecha]), VLOOKUP(PRIORIDAD_UNO[[#This Row],[Nombre del requerimiento]],'Cálculos Manual'!A:L,12,FALSE)))</f>
        <v>46497</v>
      </c>
      <c r="V88"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46511</v>
      </c>
      <c r="W88" s="87">
        <f>IFERROR(PRIORIDAD_UNO[[#This Row],[Fin Producción]]-PRIORIDAD_UNO[[#This Row],[Comienzo Desarrollo]],"")</f>
        <v>262</v>
      </c>
      <c r="X88" s="132" t="str">
        <f>IF(ISBLANK(PRIORIDAD_UNO[[#This Row],[Comienzo Desarrollo]]),"Sin Fecha","Con Fecha")</f>
        <v>Con Fecha</v>
      </c>
      <c r="Y88" s="129" t="str">
        <f>IF(PRIORIDAD_UNO[[#This Row],[Esfuerzo Estimado Desarrollo]]="No definido","Sin esfuerzo","Con esfuerzo")</f>
        <v>Con esfuerzo</v>
      </c>
      <c r="Z88"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88" s="239" t="str">
        <f>IF(PRIORIDAD_UNO[[#This Row],[Comienzo Producción]]="","Por Definir",_xlfn.CONCAT(YEAR(PRIORIDAD_UNO[[#This Row],[Comienzo Producción]])," - ", MONTH(PRIORIDAD_UNO[[#This Row],[Comienzo Producción]])))</f>
        <v>2027 - 4</v>
      </c>
      <c r="AB88" s="101">
        <v>3336</v>
      </c>
      <c r="AC88" s="154"/>
    </row>
    <row r="89" spans="1:29" s="29" customFormat="1" ht="33.75" customHeight="1">
      <c r="A89" s="224" t="s">
        <v>350</v>
      </c>
      <c r="B89" s="126">
        <v>1</v>
      </c>
      <c r="C89" s="126">
        <v>4</v>
      </c>
      <c r="D89" s="126" t="s">
        <v>113</v>
      </c>
      <c r="E89"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89" s="155" t="s">
        <v>31</v>
      </c>
      <c r="G89" s="155" t="s">
        <v>32</v>
      </c>
      <c r="H89" s="126" t="s">
        <v>33</v>
      </c>
      <c r="I89" s="125" t="s">
        <v>114</v>
      </c>
      <c r="J89" s="126" t="s">
        <v>35</v>
      </c>
      <c r="K89" s="126" t="s">
        <v>54</v>
      </c>
      <c r="L89" s="126" t="s">
        <v>37</v>
      </c>
      <c r="M89" s="126" t="s">
        <v>55</v>
      </c>
      <c r="N89" s="126" t="s">
        <v>56</v>
      </c>
      <c r="O89" s="126" t="s">
        <v>40</v>
      </c>
      <c r="P89" s="125"/>
      <c r="Q89" s="51">
        <v>46209</v>
      </c>
      <c r="R89"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46255</v>
      </c>
      <c r="S89" s="88">
        <f>IF(PRIORIDAD_UNO[[#This Row],[Fin Desarrollo]]="","",IF(ISBLANK(VLOOKUP(PRIORIDAD_UNO[[#This Row],[Nombre del requerimiento]],'Cálculos Manual'!A:H,8,FALSE)),WORKDAY(PRIORIDAD_UNO[[#This Row],[Fin Desarrollo]],5,FERIADOS[Fecha]), VLOOKUP(PRIORIDAD_UNO[[#This Row],[Nombre del requerimiento]],'Cálculos Manual'!A:H,8,FALSE)))</f>
        <v>46262</v>
      </c>
      <c r="T89"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46307</v>
      </c>
      <c r="U89" s="88">
        <f>IF(PRIORIDAD_UNO[[#This Row],[Fin Calidad]]="","",IF(ISBLANK(VLOOKUP(PRIORIDAD_UNO[[#This Row],[Nombre del requerimiento]],'Cálculos Manual'!A:L,12,FALSE)), WORKDAY(PRIORIDAD_UNO[[#This Row],[Fin Calidad]],5,FERIADOS[Fecha]), VLOOKUP(PRIORIDAD_UNO[[#This Row],[Nombre del requerimiento]],'Cálculos Manual'!A:L,12,FALSE)))</f>
        <v>46314</v>
      </c>
      <c r="V89"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46321</v>
      </c>
      <c r="W89" s="87">
        <f>IFERROR(PRIORIDAD_UNO[[#This Row],[Fin Producción]]-PRIORIDAD_UNO[[#This Row],[Comienzo Desarrollo]],"")</f>
        <v>112</v>
      </c>
      <c r="X89" s="132" t="str">
        <f>IF(ISBLANK(PRIORIDAD_UNO[[#This Row],[Comienzo Desarrollo]]),"Sin Fecha","Con Fecha")</f>
        <v>Con Fecha</v>
      </c>
      <c r="Y89" s="129" t="str">
        <f>IF(PRIORIDAD_UNO[[#This Row],[Esfuerzo Estimado Desarrollo]]="No definido","Sin esfuerzo","Con esfuerzo")</f>
        <v>Con esfuerzo</v>
      </c>
      <c r="Z89"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89" s="239" t="str">
        <f>IF(PRIORIDAD_UNO[[#This Row],[Comienzo Producción]]="","Por Definir",_xlfn.CONCAT(YEAR(PRIORIDAD_UNO[[#This Row],[Comienzo Producción]])," - ", MONTH(PRIORIDAD_UNO[[#This Row],[Comienzo Producción]])))</f>
        <v>2026 - 10</v>
      </c>
      <c r="AB89" s="101" t="s">
        <v>116</v>
      </c>
      <c r="AC89" s="154"/>
    </row>
    <row r="90" spans="1:29" s="29" customFormat="1" ht="33.75" customHeight="1">
      <c r="A90" s="163" t="s">
        <v>351</v>
      </c>
      <c r="B90" s="30">
        <v>1</v>
      </c>
      <c r="C90" s="30">
        <v>25</v>
      </c>
      <c r="D90" s="31" t="s">
        <v>29</v>
      </c>
      <c r="E90"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90" s="35" t="s">
        <v>66</v>
      </c>
      <c r="G90" s="35" t="s">
        <v>172</v>
      </c>
      <c r="H90" s="30" t="s">
        <v>352</v>
      </c>
      <c r="I90" s="32" t="s">
        <v>353</v>
      </c>
      <c r="J90" s="47" t="s">
        <v>35</v>
      </c>
      <c r="K90" s="31" t="s">
        <v>36</v>
      </c>
      <c r="L90" s="31" t="s">
        <v>37</v>
      </c>
      <c r="M90" s="31" t="s">
        <v>38</v>
      </c>
      <c r="N90" s="31" t="s">
        <v>192</v>
      </c>
      <c r="O90" s="31" t="s">
        <v>123</v>
      </c>
      <c r="P90" s="34" t="s">
        <v>321</v>
      </c>
      <c r="Q90" s="121">
        <v>46237</v>
      </c>
      <c r="R90"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46331</v>
      </c>
      <c r="S90" s="88">
        <f>IF(PRIORIDAD_UNO[[#This Row],[Fin Desarrollo]]="","",IF(ISBLANK(VLOOKUP(PRIORIDAD_UNO[[#This Row],[Nombre del requerimiento]],'Cálculos Manual'!A:H,8,FALSE)),WORKDAY(PRIORIDAD_UNO[[#This Row],[Fin Desarrollo]],5,FERIADOS[Fecha]), VLOOKUP(PRIORIDAD_UNO[[#This Row],[Nombre del requerimiento]],'Cálculos Manual'!A:H,8,FALSE)))</f>
        <v>46338</v>
      </c>
      <c r="T90"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46400</v>
      </c>
      <c r="U90" s="88">
        <f>IF(PRIORIDAD_UNO[[#This Row],[Fin Calidad]]="","",IF(ISBLANK(VLOOKUP(PRIORIDAD_UNO[[#This Row],[Nombre del requerimiento]],'Cálculos Manual'!A:L,12,FALSE)), WORKDAY(PRIORIDAD_UNO[[#This Row],[Fin Calidad]],5,FERIADOS[Fecha]), VLOOKUP(PRIORIDAD_UNO[[#This Row],[Nombre del requerimiento]],'Cálculos Manual'!A:L,12,FALSE)))</f>
        <v>46407</v>
      </c>
      <c r="V90"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46414</v>
      </c>
      <c r="W90" s="87">
        <f>IFERROR(PRIORIDAD_UNO[[#This Row],[Fin Producción]]-PRIORIDAD_UNO[[#This Row],[Comienzo Desarrollo]],"")</f>
        <v>177</v>
      </c>
      <c r="X90" s="132" t="str">
        <f>IF(ISBLANK(PRIORIDAD_UNO[[#This Row],[Comienzo Desarrollo]]),"Sin Fecha","Con Fecha")</f>
        <v>Con Fecha</v>
      </c>
      <c r="Y90" s="129" t="str">
        <f>IF(PRIORIDAD_UNO[[#This Row],[Esfuerzo Estimado Desarrollo]]="No definido","Sin esfuerzo","Con esfuerzo")</f>
        <v>Con esfuerzo</v>
      </c>
      <c r="Z90"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90" s="239" t="str">
        <f>IF(PRIORIDAD_UNO[[#This Row],[Comienzo Producción]]="","Por Definir",_xlfn.CONCAT(YEAR(PRIORIDAD_UNO[[#This Row],[Comienzo Producción]])," - ", MONTH(PRIORIDAD_UNO[[#This Row],[Comienzo Producción]])))</f>
        <v>2027 - 1</v>
      </c>
      <c r="AB90" s="101" t="s">
        <v>116</v>
      </c>
      <c r="AC90" s="154"/>
    </row>
    <row r="91" spans="1:29" s="29" customFormat="1" ht="33.75" customHeight="1">
      <c r="A91" s="217" t="s">
        <v>354</v>
      </c>
      <c r="B91" s="30">
        <v>1</v>
      </c>
      <c r="C91" s="30">
        <v>13</v>
      </c>
      <c r="D91" s="31" t="s">
        <v>162</v>
      </c>
      <c r="E91"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91" s="35" t="s">
        <v>66</v>
      </c>
      <c r="G91" s="35" t="s">
        <v>119</v>
      </c>
      <c r="H91" s="30" t="s">
        <v>278</v>
      </c>
      <c r="I91" s="32" t="s">
        <v>355</v>
      </c>
      <c r="J91" s="47" t="s">
        <v>35</v>
      </c>
      <c r="K91" s="31" t="s">
        <v>36</v>
      </c>
      <c r="L91" s="31" t="s">
        <v>37</v>
      </c>
      <c r="M91" s="31" t="s">
        <v>38</v>
      </c>
      <c r="N91" s="31" t="s">
        <v>39</v>
      </c>
      <c r="O91" s="31" t="s">
        <v>123</v>
      </c>
      <c r="P91" s="34" t="s">
        <v>356</v>
      </c>
      <c r="Q91" s="121">
        <v>46251</v>
      </c>
      <c r="R91"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46344</v>
      </c>
      <c r="S91" s="88">
        <f>IF(PRIORIDAD_UNO[[#This Row],[Fin Desarrollo]]="","",IF(ISBLANK(VLOOKUP(PRIORIDAD_UNO[[#This Row],[Nombre del requerimiento]],'Cálculos Manual'!A:H,8,FALSE)),WORKDAY(PRIORIDAD_UNO[[#This Row],[Fin Desarrollo]],5,FERIADOS[Fecha]), VLOOKUP(PRIORIDAD_UNO[[#This Row],[Nombre del requerimiento]],'Cálculos Manual'!A:H,8,FALSE)))</f>
        <v>46351</v>
      </c>
      <c r="T91"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46413</v>
      </c>
      <c r="U91" s="88">
        <f>IF(PRIORIDAD_UNO[[#This Row],[Fin Calidad]]="","",IF(ISBLANK(VLOOKUP(PRIORIDAD_UNO[[#This Row],[Nombre del requerimiento]],'Cálculos Manual'!A:L,12,FALSE)), WORKDAY(PRIORIDAD_UNO[[#This Row],[Fin Calidad]],5,FERIADOS[Fecha]), VLOOKUP(PRIORIDAD_UNO[[#This Row],[Nombre del requerimiento]],'Cálculos Manual'!A:L,12,FALSE)))</f>
        <v>46420</v>
      </c>
      <c r="V91"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46427</v>
      </c>
      <c r="W91" s="87">
        <f>IFERROR(PRIORIDAD_UNO[[#This Row],[Fin Producción]]-PRIORIDAD_UNO[[#This Row],[Comienzo Desarrollo]],"")</f>
        <v>176</v>
      </c>
      <c r="X91" s="132" t="str">
        <f>IF(ISBLANK(PRIORIDAD_UNO[[#This Row],[Comienzo Desarrollo]]),"Sin Fecha","Con Fecha")</f>
        <v>Con Fecha</v>
      </c>
      <c r="Y91" s="129" t="str">
        <f>IF(PRIORIDAD_UNO[[#This Row],[Esfuerzo Estimado Desarrollo]]="No definido","Sin esfuerzo","Con esfuerzo")</f>
        <v>Con esfuerzo</v>
      </c>
      <c r="Z91"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91" s="239" t="str">
        <f>IF(PRIORIDAD_UNO[[#This Row],[Comienzo Producción]]="","Por Definir",_xlfn.CONCAT(YEAR(PRIORIDAD_UNO[[#This Row],[Comienzo Producción]])," - ", MONTH(PRIORIDAD_UNO[[#This Row],[Comienzo Producción]])))</f>
        <v>2027 - 2</v>
      </c>
      <c r="AB91" s="101">
        <v>3226</v>
      </c>
      <c r="AC91" s="154"/>
    </row>
    <row r="92" spans="1:29" s="29" customFormat="1" ht="33.75" customHeight="1">
      <c r="A92" s="217" t="s">
        <v>357</v>
      </c>
      <c r="B92" s="30">
        <v>1</v>
      </c>
      <c r="C92" s="31">
        <v>4</v>
      </c>
      <c r="D92" s="31" t="s">
        <v>226</v>
      </c>
      <c r="E92"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Extra Grande</v>
      </c>
      <c r="F92" s="30" t="s">
        <v>66</v>
      </c>
      <c r="G92" s="30" t="s">
        <v>119</v>
      </c>
      <c r="H92" s="30" t="s">
        <v>120</v>
      </c>
      <c r="I92" s="32" t="s">
        <v>358</v>
      </c>
      <c r="J92" s="101" t="s">
        <v>35</v>
      </c>
      <c r="K92" s="31" t="s">
        <v>36</v>
      </c>
      <c r="L92" s="31" t="s">
        <v>37</v>
      </c>
      <c r="M92" s="31" t="s">
        <v>55</v>
      </c>
      <c r="N92" s="31" t="s">
        <v>56</v>
      </c>
      <c r="O92" s="31" t="s">
        <v>123</v>
      </c>
      <c r="P92" s="112" t="s">
        <v>359</v>
      </c>
      <c r="Q92" s="121">
        <v>46237</v>
      </c>
      <c r="R92"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46461</v>
      </c>
      <c r="S92" s="88">
        <f>IF(PRIORIDAD_UNO[[#This Row],[Fin Desarrollo]]="","",IF(ISBLANK(VLOOKUP(PRIORIDAD_UNO[[#This Row],[Nombre del requerimiento]],'Cálculos Manual'!A:H,8,FALSE)),WORKDAY(PRIORIDAD_UNO[[#This Row],[Fin Desarrollo]],5,FERIADOS[Fecha]), VLOOKUP(PRIORIDAD_UNO[[#This Row],[Nombre del requerimiento]],'Cálculos Manual'!A:H,8,FALSE)))</f>
        <v>46468</v>
      </c>
      <c r="T92"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46540</v>
      </c>
      <c r="U92" s="88">
        <f>IF(PRIORIDAD_UNO[[#This Row],[Fin Calidad]]="","",IF(ISBLANK(VLOOKUP(PRIORIDAD_UNO[[#This Row],[Nombre del requerimiento]],'Cálculos Manual'!A:L,12,FALSE)), WORKDAY(PRIORIDAD_UNO[[#This Row],[Fin Calidad]],5,FERIADOS[Fecha]), VLOOKUP(PRIORIDAD_UNO[[#This Row],[Nombre del requerimiento]],'Cálculos Manual'!A:L,12,FALSE)))</f>
        <v>46548</v>
      </c>
      <c r="V92"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46555</v>
      </c>
      <c r="W92" s="87">
        <f>IFERROR(PRIORIDAD_UNO[[#This Row],[Fin Producción]]-PRIORIDAD_UNO[[#This Row],[Comienzo Desarrollo]],"")</f>
        <v>318</v>
      </c>
      <c r="X92" s="132" t="str">
        <f>IF(ISBLANK(PRIORIDAD_UNO[[#This Row],[Comienzo Desarrollo]]),"Sin Fecha","Con Fecha")</f>
        <v>Con Fecha</v>
      </c>
      <c r="Y92" s="129" t="str">
        <f>IF(PRIORIDAD_UNO[[#This Row],[Esfuerzo Estimado Desarrollo]]="No definido","Sin esfuerzo","Con esfuerzo")</f>
        <v>Con esfuerzo</v>
      </c>
      <c r="Z92"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92" s="239" t="str">
        <f>IF(PRIORIDAD_UNO[[#This Row],[Comienzo Producción]]="","Por Definir",_xlfn.CONCAT(YEAR(PRIORIDAD_UNO[[#This Row],[Comienzo Producción]])," - ", MONTH(PRIORIDAD_UNO[[#This Row],[Comienzo Producción]])))</f>
        <v>2027 - 6</v>
      </c>
      <c r="AB92" s="101">
        <v>3223</v>
      </c>
      <c r="AC92" s="154"/>
    </row>
    <row r="93" spans="1:29" s="29" customFormat="1" ht="33.75" customHeight="1">
      <c r="A93" s="163" t="s">
        <v>360</v>
      </c>
      <c r="B93" s="126">
        <v>1</v>
      </c>
      <c r="C93" s="126">
        <v>15</v>
      </c>
      <c r="D93" s="126" t="s">
        <v>29</v>
      </c>
      <c r="E93"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93" s="155" t="s">
        <v>68</v>
      </c>
      <c r="G93" s="155" t="s">
        <v>129</v>
      </c>
      <c r="H93" s="126" t="s">
        <v>129</v>
      </c>
      <c r="I93" s="125" t="s">
        <v>60</v>
      </c>
      <c r="J93" s="126" t="s">
        <v>35</v>
      </c>
      <c r="K93" s="126" t="s">
        <v>36</v>
      </c>
      <c r="L93" s="126" t="s">
        <v>79</v>
      </c>
      <c r="M93" s="126" t="s">
        <v>38</v>
      </c>
      <c r="N93" s="126" t="s">
        <v>361</v>
      </c>
      <c r="O93" s="126" t="s">
        <v>132</v>
      </c>
      <c r="P93" s="125" t="s">
        <v>362</v>
      </c>
      <c r="Q93" s="51"/>
      <c r="R93" s="88"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93" s="88" t="str">
        <f>IF(PRIORIDAD_UNO[[#This Row],[Fin Desarrollo]]="","",IF(ISBLANK(VLOOKUP(PRIORIDAD_UNO[[#This Row],[Nombre del requerimiento]],'Cálculos Manual'!A:H,8,FALSE)),WORKDAY(PRIORIDAD_UNO[[#This Row],[Fin Desarrollo]],5,FERIADOS[Fecha]), VLOOKUP(PRIORIDAD_UNO[[#This Row],[Nombre del requerimiento]],'Cálculos Manual'!A:H,8,FALSE)))</f>
        <v/>
      </c>
      <c r="T93" s="88"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93" s="88" t="str">
        <f>IF(PRIORIDAD_UNO[[#This Row],[Fin Calidad]]="","",IF(ISBLANK(VLOOKUP(PRIORIDAD_UNO[[#This Row],[Nombre del requerimiento]],'Cálculos Manual'!A:L,12,FALSE)), WORKDAY(PRIORIDAD_UNO[[#This Row],[Fin Calidad]],5,FERIADOS[Fecha]), VLOOKUP(PRIORIDAD_UNO[[#This Row],[Nombre del requerimiento]],'Cálculos Manual'!A:L,12,FALSE)))</f>
        <v/>
      </c>
      <c r="V93" s="88"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93" s="87" t="str">
        <f>IFERROR(PRIORIDAD_UNO[[#This Row],[Fin Producción]]-PRIORIDAD_UNO[[#This Row],[Comienzo Desarrollo]],"")</f>
        <v/>
      </c>
      <c r="X93" s="132" t="str">
        <f>IF(ISBLANK(PRIORIDAD_UNO[[#This Row],[Comienzo Desarrollo]]),"Sin Fecha","Con Fecha")</f>
        <v>Sin Fecha</v>
      </c>
      <c r="Y93" s="129" t="str">
        <f>IF(PRIORIDAD_UNO[[#This Row],[Esfuerzo Estimado Desarrollo]]="No definido","Sin esfuerzo","Con esfuerzo")</f>
        <v>Con esfuerzo</v>
      </c>
      <c r="Z93" s="162"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93" s="239" t="str">
        <f>IF(PRIORIDAD_UNO[[#This Row],[Comienzo Producción]]="","Por Definir",_xlfn.CONCAT(YEAR(PRIORIDAD_UNO[[#This Row],[Comienzo Producción]])," - ", MONTH(PRIORIDAD_UNO[[#This Row],[Comienzo Producción]])))</f>
        <v>Por Definir</v>
      </c>
      <c r="AB93" s="101" t="s">
        <v>363</v>
      </c>
      <c r="AC93" s="154"/>
    </row>
    <row r="94" spans="1:29" s="29" customFormat="1" ht="33.75" customHeight="1">
      <c r="A94" s="163" t="s">
        <v>364</v>
      </c>
      <c r="B94" s="126">
        <v>1</v>
      </c>
      <c r="C94" s="126">
        <v>12</v>
      </c>
      <c r="D94" s="126" t="s">
        <v>162</v>
      </c>
      <c r="E94"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94" s="126" t="s">
        <v>68</v>
      </c>
      <c r="G94" s="126" t="s">
        <v>129</v>
      </c>
      <c r="H94" s="126" t="s">
        <v>298</v>
      </c>
      <c r="I94" s="125" t="s">
        <v>60</v>
      </c>
      <c r="J94" s="155" t="s">
        <v>35</v>
      </c>
      <c r="K94" s="126" t="s">
        <v>36</v>
      </c>
      <c r="L94" s="126" t="s">
        <v>37</v>
      </c>
      <c r="M94" s="126" t="s">
        <v>38</v>
      </c>
      <c r="N94" s="126" t="s">
        <v>299</v>
      </c>
      <c r="O94" s="126" t="s">
        <v>132</v>
      </c>
      <c r="P94" s="125"/>
      <c r="Q94" s="51">
        <v>46237</v>
      </c>
      <c r="R94"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46331</v>
      </c>
      <c r="S94" s="88">
        <f>IF(PRIORIDAD_UNO[[#This Row],[Fin Desarrollo]]="","",IF(ISBLANK(VLOOKUP(PRIORIDAD_UNO[[#This Row],[Nombre del requerimiento]],'Cálculos Manual'!A:H,8,FALSE)),WORKDAY(PRIORIDAD_UNO[[#This Row],[Fin Desarrollo]],5,FERIADOS[Fecha]), VLOOKUP(PRIORIDAD_UNO[[#This Row],[Nombre del requerimiento]],'Cálculos Manual'!A:H,8,FALSE)))</f>
        <v>46338</v>
      </c>
      <c r="T94"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46400</v>
      </c>
      <c r="U94" s="88">
        <f>IF(PRIORIDAD_UNO[[#This Row],[Fin Calidad]]="","",IF(ISBLANK(VLOOKUP(PRIORIDAD_UNO[[#This Row],[Nombre del requerimiento]],'Cálculos Manual'!A:L,12,FALSE)), WORKDAY(PRIORIDAD_UNO[[#This Row],[Fin Calidad]],5,FERIADOS[Fecha]), VLOOKUP(PRIORIDAD_UNO[[#This Row],[Nombre del requerimiento]],'Cálculos Manual'!A:L,12,FALSE)))</f>
        <v>46407</v>
      </c>
      <c r="V94"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46414</v>
      </c>
      <c r="W94" s="87">
        <f>IFERROR(PRIORIDAD_UNO[[#This Row],[Fin Producción]]-PRIORIDAD_UNO[[#This Row],[Comienzo Desarrollo]],"")</f>
        <v>177</v>
      </c>
      <c r="X94" s="132" t="str">
        <f>IF(ISBLANK(PRIORIDAD_UNO[[#This Row],[Comienzo Desarrollo]]),"Sin Fecha","Con Fecha")</f>
        <v>Con Fecha</v>
      </c>
      <c r="Y94" s="129" t="str">
        <f>IF(PRIORIDAD_UNO[[#This Row],[Esfuerzo Estimado Desarrollo]]="No definido","Sin esfuerzo","Con esfuerzo")</f>
        <v>Con esfuerzo</v>
      </c>
      <c r="Z94"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94" s="239" t="str">
        <f>IF(PRIORIDAD_UNO[[#This Row],[Comienzo Producción]]="","Por Definir",_xlfn.CONCAT(YEAR(PRIORIDAD_UNO[[#This Row],[Comienzo Producción]])," - ", MONTH(PRIORIDAD_UNO[[#This Row],[Comienzo Producción]])))</f>
        <v>2027 - 1</v>
      </c>
      <c r="AB94" s="101" t="s">
        <v>116</v>
      </c>
      <c r="AC94" s="154"/>
    </row>
    <row r="95" spans="1:29" s="29" customFormat="1" ht="33.75" customHeight="1">
      <c r="A95" s="224" t="s">
        <v>365</v>
      </c>
      <c r="B95" s="126">
        <v>1</v>
      </c>
      <c r="C95" s="126">
        <v>1</v>
      </c>
      <c r="D95" s="126" t="s">
        <v>113</v>
      </c>
      <c r="E95"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95" s="155" t="s">
        <v>31</v>
      </c>
      <c r="G95" s="155" t="s">
        <v>32</v>
      </c>
      <c r="H95" s="126" t="s">
        <v>33</v>
      </c>
      <c r="I95" s="125" t="s">
        <v>114</v>
      </c>
      <c r="J95" s="126" t="s">
        <v>35</v>
      </c>
      <c r="K95" s="126" t="s">
        <v>62</v>
      </c>
      <c r="L95" s="126" t="s">
        <v>37</v>
      </c>
      <c r="M95" s="126" t="s">
        <v>55</v>
      </c>
      <c r="N95" s="126" t="s">
        <v>56</v>
      </c>
      <c r="O95" s="126" t="s">
        <v>40</v>
      </c>
      <c r="P95" s="125"/>
      <c r="Q95" s="51">
        <v>46209</v>
      </c>
      <c r="R95"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46255</v>
      </c>
      <c r="S95" s="88">
        <f>IF(PRIORIDAD_UNO[[#This Row],[Fin Desarrollo]]="","",IF(ISBLANK(VLOOKUP(PRIORIDAD_UNO[[#This Row],[Nombre del requerimiento]],'Cálculos Manual'!A:H,8,FALSE)),WORKDAY(PRIORIDAD_UNO[[#This Row],[Fin Desarrollo]],5,FERIADOS[Fecha]), VLOOKUP(PRIORIDAD_UNO[[#This Row],[Nombre del requerimiento]],'Cálculos Manual'!A:H,8,FALSE)))</f>
        <v>46262</v>
      </c>
      <c r="T95"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46307</v>
      </c>
      <c r="U95" s="88">
        <f>IF(PRIORIDAD_UNO[[#This Row],[Fin Calidad]]="","",IF(ISBLANK(VLOOKUP(PRIORIDAD_UNO[[#This Row],[Nombre del requerimiento]],'Cálculos Manual'!A:L,12,FALSE)), WORKDAY(PRIORIDAD_UNO[[#This Row],[Fin Calidad]],5,FERIADOS[Fecha]), VLOOKUP(PRIORIDAD_UNO[[#This Row],[Nombre del requerimiento]],'Cálculos Manual'!A:L,12,FALSE)))</f>
        <v>46314</v>
      </c>
      <c r="V95"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46321</v>
      </c>
      <c r="W95" s="87">
        <f>IFERROR(PRIORIDAD_UNO[[#This Row],[Fin Producción]]-PRIORIDAD_UNO[[#This Row],[Comienzo Desarrollo]],"")</f>
        <v>112</v>
      </c>
      <c r="X95" s="132" t="str">
        <f>IF(ISBLANK(PRIORIDAD_UNO[[#This Row],[Comienzo Desarrollo]]),"Sin Fecha","Con Fecha")</f>
        <v>Con Fecha</v>
      </c>
      <c r="Y95" s="129" t="str">
        <f>IF(PRIORIDAD_UNO[[#This Row],[Esfuerzo Estimado Desarrollo]]="No definido","Sin esfuerzo","Con esfuerzo")</f>
        <v>Con esfuerzo</v>
      </c>
      <c r="Z95" s="15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95" s="239" t="str">
        <f>IF(PRIORIDAD_UNO[[#This Row],[Comienzo Producción]]="","Por Definir",_xlfn.CONCAT(YEAR(PRIORIDAD_UNO[[#This Row],[Comienzo Producción]])," - ", MONTH(PRIORIDAD_UNO[[#This Row],[Comienzo Producción]])))</f>
        <v>2026 - 10</v>
      </c>
      <c r="AB95" s="101" t="s">
        <v>116</v>
      </c>
      <c r="AC95" s="154"/>
    </row>
    <row r="96" spans="1:29" s="29" customFormat="1" ht="33.75" customHeight="1">
      <c r="A96" s="217" t="s">
        <v>366</v>
      </c>
      <c r="B96" s="30">
        <v>1</v>
      </c>
      <c r="C96" s="30">
        <v>16</v>
      </c>
      <c r="D96" s="31" t="s">
        <v>46</v>
      </c>
      <c r="E96"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96" s="30" t="s">
        <v>66</v>
      </c>
      <c r="G96" s="30" t="s">
        <v>172</v>
      </c>
      <c r="H96" s="30" t="s">
        <v>338</v>
      </c>
      <c r="I96" s="32" t="s">
        <v>367</v>
      </c>
      <c r="J96" s="101" t="s">
        <v>35</v>
      </c>
      <c r="K96" s="31" t="s">
        <v>36</v>
      </c>
      <c r="L96" s="31" t="s">
        <v>37</v>
      </c>
      <c r="M96" s="31" t="s">
        <v>38</v>
      </c>
      <c r="N96" s="31" t="s">
        <v>234</v>
      </c>
      <c r="O96" s="31" t="s">
        <v>123</v>
      </c>
      <c r="P96" s="39" t="s">
        <v>368</v>
      </c>
      <c r="Q96" s="121">
        <v>46237</v>
      </c>
      <c r="R96"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46399</v>
      </c>
      <c r="S96" s="88">
        <f>IF(PRIORIDAD_UNO[[#This Row],[Fin Desarrollo]]="","",IF(ISBLANK(VLOOKUP(PRIORIDAD_UNO[[#This Row],[Nombre del requerimiento]],'Cálculos Manual'!A:H,8,FALSE)),WORKDAY(PRIORIDAD_UNO[[#This Row],[Fin Desarrollo]],5,FERIADOS[Fecha]), VLOOKUP(PRIORIDAD_UNO[[#This Row],[Nombre del requerimiento]],'Cálculos Manual'!A:H,8,FALSE)))</f>
        <v>46406</v>
      </c>
      <c r="T96"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46478</v>
      </c>
      <c r="U96" s="88">
        <f>IF(PRIORIDAD_UNO[[#This Row],[Fin Calidad]]="","",IF(ISBLANK(VLOOKUP(PRIORIDAD_UNO[[#This Row],[Nombre del requerimiento]],'Cálculos Manual'!A:L,12,FALSE)), WORKDAY(PRIORIDAD_UNO[[#This Row],[Fin Calidad]],5,FERIADOS[Fecha]), VLOOKUP(PRIORIDAD_UNO[[#This Row],[Nombre del requerimiento]],'Cálculos Manual'!A:L,12,FALSE)))</f>
        <v>46485</v>
      </c>
      <c r="V96"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46499</v>
      </c>
      <c r="W96" s="87">
        <f>IFERROR(PRIORIDAD_UNO[[#This Row],[Fin Producción]]-PRIORIDAD_UNO[[#This Row],[Comienzo Desarrollo]],"")</f>
        <v>262</v>
      </c>
      <c r="X96" s="132" t="str">
        <f>IF(ISBLANK(PRIORIDAD_UNO[[#This Row],[Comienzo Desarrollo]]),"Sin Fecha","Con Fecha")</f>
        <v>Con Fecha</v>
      </c>
      <c r="Y96" s="129" t="str">
        <f>IF(PRIORIDAD_UNO[[#This Row],[Esfuerzo Estimado Desarrollo]]="No definido","Sin esfuerzo","Con esfuerzo")</f>
        <v>Con esfuerzo</v>
      </c>
      <c r="Z96"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96" s="239" t="str">
        <f>IF(PRIORIDAD_UNO[[#This Row],[Comienzo Producción]]="","Por Definir",_xlfn.CONCAT(YEAR(PRIORIDAD_UNO[[#This Row],[Comienzo Producción]])," - ", MONTH(PRIORIDAD_UNO[[#This Row],[Comienzo Producción]])))</f>
        <v>2027 - 4</v>
      </c>
      <c r="AB96" s="101">
        <v>3237</v>
      </c>
      <c r="AC96" s="154"/>
    </row>
    <row r="97" spans="1:29" s="29" customFormat="1" ht="33.75" customHeight="1">
      <c r="A97" s="217" t="s">
        <v>369</v>
      </c>
      <c r="B97" s="126">
        <v>1</v>
      </c>
      <c r="C97" s="126">
        <v>40</v>
      </c>
      <c r="D97" s="126" t="s">
        <v>162</v>
      </c>
      <c r="E97"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97" s="155" t="s">
        <v>66</v>
      </c>
      <c r="G97" s="155" t="s">
        <v>119</v>
      </c>
      <c r="H97" s="126" t="s">
        <v>135</v>
      </c>
      <c r="I97" s="125" t="s">
        <v>370</v>
      </c>
      <c r="J97" s="126" t="s">
        <v>35</v>
      </c>
      <c r="K97" s="126" t="s">
        <v>54</v>
      </c>
      <c r="L97" s="126" t="s">
        <v>37</v>
      </c>
      <c r="M97" s="126" t="s">
        <v>38</v>
      </c>
      <c r="N97" s="126" t="s">
        <v>189</v>
      </c>
      <c r="O97" s="126" t="s">
        <v>123</v>
      </c>
      <c r="P97" s="125"/>
      <c r="Q97" s="121">
        <v>46636</v>
      </c>
      <c r="R97" s="122">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46730</v>
      </c>
      <c r="S97" s="122">
        <f>IF(PRIORIDAD_UNO[[#This Row],[Fin Desarrollo]]="","",IF(ISBLANK(VLOOKUP(PRIORIDAD_UNO[[#This Row],[Nombre del requerimiento]],'Cálculos Manual'!A:H,8,FALSE)),WORKDAY(PRIORIDAD_UNO[[#This Row],[Fin Desarrollo]],5,FERIADOS[Fecha]), VLOOKUP(PRIORIDAD_UNO[[#This Row],[Nombre del requerimiento]],'Cálculos Manual'!A:H,8,FALSE)))</f>
        <v>46741</v>
      </c>
      <c r="T97" s="122">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46797</v>
      </c>
      <c r="U97" s="122">
        <f>IF(PRIORIDAD_UNO[[#This Row],[Fin Calidad]]="","",IF(ISBLANK(VLOOKUP(PRIORIDAD_UNO[[#This Row],[Nombre del requerimiento]],'Cálculos Manual'!A:L,12,FALSE)), WORKDAY(PRIORIDAD_UNO[[#This Row],[Fin Calidad]],5,FERIADOS[Fecha]), VLOOKUP(PRIORIDAD_UNO[[#This Row],[Nombre del requerimiento]],'Cálculos Manual'!A:L,12,FALSE)))</f>
        <v>46804</v>
      </c>
      <c r="V97" s="122">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46811</v>
      </c>
      <c r="W97" s="38">
        <f>IFERROR(PRIORIDAD_UNO[[#This Row],[Fin Producción]]-PRIORIDAD_UNO[[#This Row],[Comienzo Desarrollo]],"")</f>
        <v>175</v>
      </c>
      <c r="X97" s="132" t="str">
        <f>IF(ISBLANK(PRIORIDAD_UNO[[#This Row],[Comienzo Desarrollo]]),"Sin Fecha","Con Fecha")</f>
        <v>Con Fecha</v>
      </c>
      <c r="Y97" s="129" t="str">
        <f>IF(PRIORIDAD_UNO[[#This Row],[Esfuerzo Estimado Desarrollo]]="No definido","Sin esfuerzo","Con esfuerzo")</f>
        <v>Con esfuerzo</v>
      </c>
      <c r="Z97"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97" s="239" t="str">
        <f>IF(PRIORIDAD_UNO[[#This Row],[Comienzo Producción]]="","Por Definir",_xlfn.CONCAT(YEAR(PRIORIDAD_UNO[[#This Row],[Comienzo Producción]])," - ", MONTH(PRIORIDAD_UNO[[#This Row],[Comienzo Producción]])))</f>
        <v>2028 - 2</v>
      </c>
      <c r="AB97" s="101">
        <v>3151</v>
      </c>
      <c r="AC97" s="154"/>
    </row>
    <row r="98" spans="1:29" s="29" customFormat="1" ht="33.75" customHeight="1">
      <c r="A98" s="163" t="s">
        <v>371</v>
      </c>
      <c r="B98" s="126">
        <v>1</v>
      </c>
      <c r="C98" s="126">
        <v>6</v>
      </c>
      <c r="D98" s="126" t="s">
        <v>29</v>
      </c>
      <c r="E98"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98" s="155" t="s">
        <v>65</v>
      </c>
      <c r="G98" s="155" t="s">
        <v>148</v>
      </c>
      <c r="H98" s="126" t="s">
        <v>372</v>
      </c>
      <c r="I98" s="125" t="s">
        <v>373</v>
      </c>
      <c r="J98" s="126" t="s">
        <v>35</v>
      </c>
      <c r="K98" s="126" t="s">
        <v>54</v>
      </c>
      <c r="L98" s="126" t="s">
        <v>37</v>
      </c>
      <c r="M98" s="126" t="s">
        <v>38</v>
      </c>
      <c r="N98" s="126" t="s">
        <v>280</v>
      </c>
      <c r="O98" s="126" t="s">
        <v>153</v>
      </c>
      <c r="P98" s="125"/>
      <c r="Q98" s="51">
        <v>46237</v>
      </c>
      <c r="R98"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46331</v>
      </c>
      <c r="S98" s="88">
        <f>IF(PRIORIDAD_UNO[[#This Row],[Fin Desarrollo]]="","",IF(ISBLANK(VLOOKUP(PRIORIDAD_UNO[[#This Row],[Nombre del requerimiento]],'Cálculos Manual'!A:H,8,FALSE)),WORKDAY(PRIORIDAD_UNO[[#This Row],[Fin Desarrollo]],5,FERIADOS[Fecha]), VLOOKUP(PRIORIDAD_UNO[[#This Row],[Nombre del requerimiento]],'Cálculos Manual'!A:H,8,FALSE)))</f>
        <v>46338</v>
      </c>
      <c r="T98"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46400</v>
      </c>
      <c r="U98" s="88">
        <f>IF(PRIORIDAD_UNO[[#This Row],[Fin Calidad]]="","",IF(ISBLANK(VLOOKUP(PRIORIDAD_UNO[[#This Row],[Nombre del requerimiento]],'Cálculos Manual'!A:L,12,FALSE)), WORKDAY(PRIORIDAD_UNO[[#This Row],[Fin Calidad]],5,FERIADOS[Fecha]), VLOOKUP(PRIORIDAD_UNO[[#This Row],[Nombre del requerimiento]],'Cálculos Manual'!A:L,12,FALSE)))</f>
        <v>46407</v>
      </c>
      <c r="V98"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46414</v>
      </c>
      <c r="W98" s="87">
        <f>IFERROR(PRIORIDAD_UNO[[#This Row],[Fin Producción]]-PRIORIDAD_UNO[[#This Row],[Comienzo Desarrollo]],"")</f>
        <v>177</v>
      </c>
      <c r="X98" s="132" t="str">
        <f>IF(ISBLANK(PRIORIDAD_UNO[[#This Row],[Comienzo Desarrollo]]),"Sin Fecha","Con Fecha")</f>
        <v>Con Fecha</v>
      </c>
      <c r="Y98" s="129" t="str">
        <f>IF(PRIORIDAD_UNO[[#This Row],[Esfuerzo Estimado Desarrollo]]="No definido","Sin esfuerzo","Con esfuerzo")</f>
        <v>Con esfuerzo</v>
      </c>
      <c r="Z98"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98" s="239" t="str">
        <f>IF(PRIORIDAD_UNO[[#This Row],[Comienzo Producción]]="","Por Definir",_xlfn.CONCAT(YEAR(PRIORIDAD_UNO[[#This Row],[Comienzo Producción]])," - ", MONTH(PRIORIDAD_UNO[[#This Row],[Comienzo Producción]])))</f>
        <v>2027 - 1</v>
      </c>
      <c r="AB98" s="101" t="s">
        <v>116</v>
      </c>
      <c r="AC98" s="154"/>
    </row>
    <row r="99" spans="1:29" s="29" customFormat="1" ht="33.75" customHeight="1">
      <c r="A99" s="163" t="s">
        <v>374</v>
      </c>
      <c r="B99" s="126">
        <v>1</v>
      </c>
      <c r="C99" s="126">
        <v>8</v>
      </c>
      <c r="D99" s="126" t="s">
        <v>226</v>
      </c>
      <c r="E99"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Extra Grande</v>
      </c>
      <c r="F99" s="155" t="s">
        <v>68</v>
      </c>
      <c r="G99" s="155" t="s">
        <v>129</v>
      </c>
      <c r="H99" s="126" t="s">
        <v>298</v>
      </c>
      <c r="I99" s="125" t="s">
        <v>60</v>
      </c>
      <c r="J99" s="126" t="s">
        <v>35</v>
      </c>
      <c r="K99" s="126" t="s">
        <v>54</v>
      </c>
      <c r="L99" s="126" t="s">
        <v>37</v>
      </c>
      <c r="M99" s="126" t="s">
        <v>38</v>
      </c>
      <c r="N99" s="126" t="s">
        <v>375</v>
      </c>
      <c r="O99" s="126" t="s">
        <v>132</v>
      </c>
      <c r="P99" s="125"/>
      <c r="Q99" s="51">
        <v>46209</v>
      </c>
      <c r="R99"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46436</v>
      </c>
      <c r="S99" s="88">
        <f>IF(PRIORIDAD_UNO[[#This Row],[Fin Desarrollo]]="","",IF(ISBLANK(VLOOKUP(PRIORIDAD_UNO[[#This Row],[Nombre del requerimiento]],'Cálculos Manual'!A:H,8,FALSE)),WORKDAY(PRIORIDAD_UNO[[#This Row],[Fin Desarrollo]],5,FERIADOS[Fecha]), VLOOKUP(PRIORIDAD_UNO[[#This Row],[Nombre del requerimiento]],'Cálculos Manual'!A:H,8,FALSE)))</f>
        <v>46443</v>
      </c>
      <c r="T99"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46517</v>
      </c>
      <c r="U99" s="88">
        <f>IF(PRIORIDAD_UNO[[#This Row],[Fin Calidad]]="","",IF(ISBLANK(VLOOKUP(PRIORIDAD_UNO[[#This Row],[Nombre del requerimiento]],'Cálculos Manual'!A:L,12,FALSE)), WORKDAY(PRIORIDAD_UNO[[#This Row],[Fin Calidad]],5,FERIADOS[Fecha]), VLOOKUP(PRIORIDAD_UNO[[#This Row],[Nombre del requerimiento]],'Cálculos Manual'!A:L,12,FALSE)))</f>
        <v>46524</v>
      </c>
      <c r="V99"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46531</v>
      </c>
      <c r="W99" s="87">
        <f>IFERROR(PRIORIDAD_UNO[[#This Row],[Fin Producción]]-PRIORIDAD_UNO[[#This Row],[Comienzo Desarrollo]],"")</f>
        <v>322</v>
      </c>
      <c r="X99" s="132" t="str">
        <f>IF(ISBLANK(PRIORIDAD_UNO[[#This Row],[Comienzo Desarrollo]]),"Sin Fecha","Con Fecha")</f>
        <v>Con Fecha</v>
      </c>
      <c r="Y99" s="129" t="str">
        <f>IF(PRIORIDAD_UNO[[#This Row],[Esfuerzo Estimado Desarrollo]]="No definido","Sin esfuerzo","Con esfuerzo")</f>
        <v>Con esfuerzo</v>
      </c>
      <c r="Z99"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99" s="239" t="str">
        <f>IF(PRIORIDAD_UNO[[#This Row],[Comienzo Producción]]="","Por Definir",_xlfn.CONCAT(YEAR(PRIORIDAD_UNO[[#This Row],[Comienzo Producción]])," - ", MONTH(PRIORIDAD_UNO[[#This Row],[Comienzo Producción]])))</f>
        <v>2027 - 5</v>
      </c>
      <c r="AB99" s="101" t="s">
        <v>116</v>
      </c>
      <c r="AC99" s="154"/>
    </row>
    <row r="100" spans="1:29" s="29" customFormat="1" ht="33.75" customHeight="1">
      <c r="A100" s="217" t="s">
        <v>376</v>
      </c>
      <c r="B100" s="126">
        <v>1</v>
      </c>
      <c r="C100" s="126">
        <v>4</v>
      </c>
      <c r="D100" s="126" t="s">
        <v>113</v>
      </c>
      <c r="E100"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100" s="126" t="s">
        <v>67</v>
      </c>
      <c r="G100" s="126" t="s">
        <v>67</v>
      </c>
      <c r="H100" s="126" t="s">
        <v>377</v>
      </c>
      <c r="I100" s="125" t="s">
        <v>378</v>
      </c>
      <c r="J100" s="126" t="s">
        <v>35</v>
      </c>
      <c r="K100" s="126" t="s">
        <v>54</v>
      </c>
      <c r="L100" s="126" t="s">
        <v>37</v>
      </c>
      <c r="M100" s="126" t="s">
        <v>38</v>
      </c>
      <c r="N100" s="126" t="s">
        <v>189</v>
      </c>
      <c r="O100" s="38" t="s">
        <v>153</v>
      </c>
      <c r="P100" s="125" t="s">
        <v>379</v>
      </c>
      <c r="Q100" s="121">
        <v>46329</v>
      </c>
      <c r="R100" s="122">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46373</v>
      </c>
      <c r="S100" s="122">
        <f>IF(PRIORIDAD_UNO[[#This Row],[Fin Desarrollo]]="","",IF(ISBLANK(VLOOKUP(PRIORIDAD_UNO[[#This Row],[Nombre del requerimiento]],'Cálculos Manual'!A:H,8,FALSE)),WORKDAY(PRIORIDAD_UNO[[#This Row],[Fin Desarrollo]],5,FERIADOS[Fecha]), VLOOKUP(PRIORIDAD_UNO[[#This Row],[Nombre del requerimiento]],'Cálculos Manual'!A:H,8,FALSE)))</f>
        <v>46380</v>
      </c>
      <c r="T100" s="122">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46426</v>
      </c>
      <c r="U100" s="122">
        <f>IF(PRIORIDAD_UNO[[#This Row],[Fin Calidad]]="","",IF(ISBLANK(VLOOKUP(PRIORIDAD_UNO[[#This Row],[Nombre del requerimiento]],'Cálculos Manual'!A:L,12,FALSE)), WORKDAY(PRIORIDAD_UNO[[#This Row],[Fin Calidad]],5,FERIADOS[Fecha]), VLOOKUP(PRIORIDAD_UNO[[#This Row],[Nombre del requerimiento]],'Cálculos Manual'!A:L,12,FALSE)))</f>
        <v>46433</v>
      </c>
      <c r="V100" s="122">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46440</v>
      </c>
      <c r="W100" s="38">
        <f>IFERROR(PRIORIDAD_UNO[[#This Row],[Fin Producción]]-PRIORIDAD_UNO[[#This Row],[Comienzo Desarrollo]],"")</f>
        <v>111</v>
      </c>
      <c r="X100" s="132" t="str">
        <f>IF(ISBLANK(PRIORIDAD_UNO[[#This Row],[Comienzo Desarrollo]]),"Sin Fecha","Con Fecha")</f>
        <v>Con Fecha</v>
      </c>
      <c r="Y100" s="129" t="str">
        <f>IF(PRIORIDAD_UNO[[#This Row],[Esfuerzo Estimado Desarrollo]]="No definido","Sin esfuerzo","Con esfuerzo")</f>
        <v>Con esfuerzo</v>
      </c>
      <c r="Z100" s="157"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00" s="239" t="str">
        <f>IF(PRIORIDAD_UNO[[#This Row],[Comienzo Producción]]="","Por Definir",_xlfn.CONCAT(YEAR(PRIORIDAD_UNO[[#This Row],[Comienzo Producción]])," - ", MONTH(PRIORIDAD_UNO[[#This Row],[Comienzo Producción]])))</f>
        <v>2027 - 2</v>
      </c>
      <c r="AB100" s="101">
        <v>3276</v>
      </c>
      <c r="AC100" s="154"/>
    </row>
    <row r="101" spans="1:29" s="29" customFormat="1" ht="33.75" customHeight="1">
      <c r="A101" s="224" t="s">
        <v>380</v>
      </c>
      <c r="B101" s="126">
        <v>1</v>
      </c>
      <c r="C101" s="126">
        <v>2</v>
      </c>
      <c r="D101" s="126" t="s">
        <v>162</v>
      </c>
      <c r="E101"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01" s="126" t="s">
        <v>31</v>
      </c>
      <c r="G101" s="126" t="s">
        <v>32</v>
      </c>
      <c r="H101" s="126" t="s">
        <v>33</v>
      </c>
      <c r="I101" s="125" t="s">
        <v>34</v>
      </c>
      <c r="J101" s="126" t="s">
        <v>35</v>
      </c>
      <c r="K101" s="126" t="s">
        <v>63</v>
      </c>
      <c r="L101" s="126" t="s">
        <v>37</v>
      </c>
      <c r="M101" s="126" t="s">
        <v>55</v>
      </c>
      <c r="N101" s="126" t="s">
        <v>56</v>
      </c>
      <c r="O101" s="126" t="s">
        <v>40</v>
      </c>
      <c r="P101" s="125" t="s">
        <v>105</v>
      </c>
      <c r="Q101" s="51">
        <v>46204</v>
      </c>
      <c r="R101"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46302</v>
      </c>
      <c r="S101" s="88">
        <f>IF(PRIORIDAD_UNO[[#This Row],[Fin Desarrollo]]="","",IF(ISBLANK(VLOOKUP(PRIORIDAD_UNO[[#This Row],[Nombre del requerimiento]],'Cálculos Manual'!A:H,8,FALSE)),WORKDAY(PRIORIDAD_UNO[[#This Row],[Fin Desarrollo]],5,FERIADOS[Fecha]), VLOOKUP(PRIORIDAD_UNO[[#This Row],[Nombre del requerimiento]],'Cálculos Manual'!A:H,8,FALSE)))</f>
        <v>46310</v>
      </c>
      <c r="T101"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46370</v>
      </c>
      <c r="U101" s="88">
        <f>IF(PRIORIDAD_UNO[[#This Row],[Fin Calidad]]="","",IF(ISBLANK(VLOOKUP(PRIORIDAD_UNO[[#This Row],[Nombre del requerimiento]],'Cálculos Manual'!A:L,12,FALSE)), WORKDAY(PRIORIDAD_UNO[[#This Row],[Fin Calidad]],5,FERIADOS[Fecha]), VLOOKUP(PRIORIDAD_UNO[[#This Row],[Nombre del requerimiento]],'Cálculos Manual'!A:L,12,FALSE)))</f>
        <v>46377</v>
      </c>
      <c r="V101"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46385</v>
      </c>
      <c r="W101" s="87">
        <f>IFERROR(PRIORIDAD_UNO[[#This Row],[Fin Producción]]-PRIORIDAD_UNO[[#This Row],[Comienzo Desarrollo]],"")</f>
        <v>181</v>
      </c>
      <c r="X101" s="132" t="str">
        <f>IF(ISBLANK(PRIORIDAD_UNO[[#This Row],[Comienzo Desarrollo]]),"Sin Fecha","Con Fecha")</f>
        <v>Con Fecha</v>
      </c>
      <c r="Y101" s="129" t="str">
        <f>IF(PRIORIDAD_UNO[[#This Row],[Esfuerzo Estimado Desarrollo]]="No definido","Sin esfuerzo","Con esfuerzo")</f>
        <v>Con esfuerzo</v>
      </c>
      <c r="Z101"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01" s="239" t="str">
        <f>IF(PRIORIDAD_UNO[[#This Row],[Comienzo Producción]]="","Por Definir",_xlfn.CONCAT(YEAR(PRIORIDAD_UNO[[#This Row],[Comienzo Producción]])," - ", MONTH(PRIORIDAD_UNO[[#This Row],[Comienzo Producción]])))</f>
        <v>2026 - 12</v>
      </c>
      <c r="AB101" s="101" t="s">
        <v>116</v>
      </c>
      <c r="AC101" s="154"/>
    </row>
    <row r="102" spans="1:29" s="29" customFormat="1" ht="33.75" customHeight="1">
      <c r="A102" s="219" t="s">
        <v>381</v>
      </c>
      <c r="B102" s="126">
        <v>1</v>
      </c>
      <c r="C102" s="126">
        <v>1</v>
      </c>
      <c r="D102" s="126" t="s">
        <v>113</v>
      </c>
      <c r="E102"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Pequeño</v>
      </c>
      <c r="F102" s="126" t="s">
        <v>31</v>
      </c>
      <c r="G102" s="126" t="s">
        <v>32</v>
      </c>
      <c r="H102" s="126" t="s">
        <v>33</v>
      </c>
      <c r="I102" s="125" t="s">
        <v>382</v>
      </c>
      <c r="J102" s="155" t="s">
        <v>35</v>
      </c>
      <c r="K102" s="126" t="s">
        <v>54</v>
      </c>
      <c r="L102" s="126" t="s">
        <v>37</v>
      </c>
      <c r="M102" s="126" t="s">
        <v>38</v>
      </c>
      <c r="N102" s="126" t="s">
        <v>383</v>
      </c>
      <c r="O102" s="126" t="s">
        <v>40</v>
      </c>
      <c r="P102" s="125"/>
      <c r="Q102" s="88">
        <v>46167</v>
      </c>
      <c r="R102"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46210</v>
      </c>
      <c r="S102" s="88">
        <f>IF(PRIORIDAD_UNO[[#This Row],[Fin Desarrollo]]="","",IF(ISBLANK(VLOOKUP(PRIORIDAD_UNO[[#This Row],[Nombre del requerimiento]],'Cálculos Manual'!A:H,8,FALSE)),WORKDAY(PRIORIDAD_UNO[[#This Row],[Fin Desarrollo]],5,FERIADOS[Fecha]), VLOOKUP(PRIORIDAD_UNO[[#This Row],[Nombre del requerimiento]],'Cálculos Manual'!A:H,8,FALSE)))</f>
        <v>46217</v>
      </c>
      <c r="T102"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46265</v>
      </c>
      <c r="U102" s="88">
        <f>IF(PRIORIDAD_UNO[[#This Row],[Fin Calidad]]="","",IF(ISBLANK(VLOOKUP(PRIORIDAD_UNO[[#This Row],[Nombre del requerimiento]],'Cálculos Manual'!A:L,12,FALSE)), WORKDAY(PRIORIDAD_UNO[[#This Row],[Fin Calidad]],5,FERIADOS[Fecha]), VLOOKUP(PRIORIDAD_UNO[[#This Row],[Nombre del requerimiento]],'Cálculos Manual'!A:L,12,FALSE)))</f>
        <v>46272</v>
      </c>
      <c r="V102"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46279</v>
      </c>
      <c r="W102" s="87">
        <f>IFERROR(PRIORIDAD_UNO[[#This Row],[Fin Producción]]-PRIORIDAD_UNO[[#This Row],[Comienzo Desarrollo]],"")</f>
        <v>112</v>
      </c>
      <c r="X102" s="166" t="str">
        <f>IF(ISBLANK(PRIORIDAD_UNO[[#This Row],[Comienzo Desarrollo]]),"Sin Fecha","Con Fecha")</f>
        <v>Con Fecha</v>
      </c>
      <c r="Y102" s="129" t="str">
        <f>IF(PRIORIDAD_UNO[[#This Row],[Esfuerzo Estimado Desarrollo]]="No definido","Sin esfuerzo","Con esfuerzo")</f>
        <v>Con esfuerzo</v>
      </c>
      <c r="Z102" s="162" t="str">
        <f ca="1">IF(ISBLANK(PRIORIDAD_UNO[[#This Row],[Comienzo Desarrollo]]),"🔵 Sin Fecha",
IF(PRIORIDAD_UNO[[#This Row],[Comienzo Desarrollo]]&lt;TODAY(),"🔴 Vencido",
IF(PRIORIDAD_UNO[[#This Row],[Comienzo Desarrollo]]=TODAY(),"🟡 Vence hoy",
IF((PRIORIDAD_UNO[[#This Row],[Comienzo Desarrollo]]-TODAY())&lt;=5,"🟠 Por vencer",
"🟢 A tiempo"))))</f>
        <v>🔴 Vencido</v>
      </c>
      <c r="AA102" s="239" t="str">
        <f>IF(PRIORIDAD_UNO[[#This Row],[Comienzo Producción]]="","Por Definir",_xlfn.CONCAT(YEAR(PRIORIDAD_UNO[[#This Row],[Comienzo Producción]])," - ", MONTH(PRIORIDAD_UNO[[#This Row],[Comienzo Producción]])))</f>
        <v>2026 - 9</v>
      </c>
      <c r="AB102" s="101">
        <v>3368</v>
      </c>
      <c r="AC102" s="154"/>
    </row>
    <row r="103" spans="1:29" s="29" customFormat="1" ht="33.75" customHeight="1">
      <c r="A103" s="163" t="s">
        <v>384</v>
      </c>
      <c r="B103" s="126">
        <v>1</v>
      </c>
      <c r="C103" s="126">
        <v>1</v>
      </c>
      <c r="D103" s="126" t="s">
        <v>162</v>
      </c>
      <c r="E103"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03" s="155" t="s">
        <v>72</v>
      </c>
      <c r="G103" s="155" t="s">
        <v>105</v>
      </c>
      <c r="H103" s="126"/>
      <c r="I103" s="125" t="s">
        <v>385</v>
      </c>
      <c r="J103" s="126" t="s">
        <v>35</v>
      </c>
      <c r="K103" s="126" t="s">
        <v>63</v>
      </c>
      <c r="L103" s="126" t="s">
        <v>37</v>
      </c>
      <c r="M103" s="126" t="s">
        <v>151</v>
      </c>
      <c r="N103" s="126" t="s">
        <v>152</v>
      </c>
      <c r="O103" s="38" t="s">
        <v>167</v>
      </c>
      <c r="P103" s="125"/>
      <c r="Q103" s="51">
        <v>46235</v>
      </c>
      <c r="R103"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46330</v>
      </c>
      <c r="S103" s="88">
        <f>IF(PRIORIDAD_UNO[[#This Row],[Fin Desarrollo]]="","",IF(ISBLANK(VLOOKUP(PRIORIDAD_UNO[[#This Row],[Nombre del requerimiento]],'Cálculos Manual'!A:H,8,FALSE)),WORKDAY(PRIORIDAD_UNO[[#This Row],[Fin Desarrollo]],5,FERIADOS[Fecha]), VLOOKUP(PRIORIDAD_UNO[[#This Row],[Nombre del requerimiento]],'Cálculos Manual'!A:H,8,FALSE)))</f>
        <v>46337</v>
      </c>
      <c r="T103"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46399</v>
      </c>
      <c r="U103" s="88">
        <f>IF(PRIORIDAD_UNO[[#This Row],[Fin Calidad]]="","",IF(ISBLANK(VLOOKUP(PRIORIDAD_UNO[[#This Row],[Nombre del requerimiento]],'Cálculos Manual'!A:L,12,FALSE)), WORKDAY(PRIORIDAD_UNO[[#This Row],[Fin Calidad]],5,FERIADOS[Fecha]), VLOOKUP(PRIORIDAD_UNO[[#This Row],[Nombre del requerimiento]],'Cálculos Manual'!A:L,12,FALSE)))</f>
        <v>46406</v>
      </c>
      <c r="V103"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46413</v>
      </c>
      <c r="W103" s="87">
        <f>IFERROR(PRIORIDAD_UNO[[#This Row],[Fin Producción]]-PRIORIDAD_UNO[[#This Row],[Comienzo Desarrollo]],"")</f>
        <v>178</v>
      </c>
      <c r="X103" s="132" t="str">
        <f>IF(ISBLANK(PRIORIDAD_UNO[[#This Row],[Comienzo Desarrollo]]),"Sin Fecha","Con Fecha")</f>
        <v>Con Fecha</v>
      </c>
      <c r="Y103" s="129" t="str">
        <f>IF(PRIORIDAD_UNO[[#This Row],[Esfuerzo Estimado Desarrollo]]="No definido","Sin esfuerzo","Con esfuerzo")</f>
        <v>Con esfuerzo</v>
      </c>
      <c r="Z103"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03" s="239" t="str">
        <f>IF(PRIORIDAD_UNO[[#This Row],[Comienzo Producción]]="","Por Definir",_xlfn.CONCAT(YEAR(PRIORIDAD_UNO[[#This Row],[Comienzo Producción]])," - ", MONTH(PRIORIDAD_UNO[[#This Row],[Comienzo Producción]])))</f>
        <v>2027 - 1</v>
      </c>
      <c r="AB103" s="101" t="s">
        <v>116</v>
      </c>
      <c r="AC103" s="154"/>
    </row>
    <row r="104" spans="1:29" s="29" customFormat="1" ht="33.75" customHeight="1">
      <c r="A104" s="219" t="s">
        <v>386</v>
      </c>
      <c r="B104" s="126">
        <v>1</v>
      </c>
      <c r="C104" s="126">
        <v>8</v>
      </c>
      <c r="D104" s="126" t="s">
        <v>348</v>
      </c>
      <c r="E104"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104" s="155" t="s">
        <v>31</v>
      </c>
      <c r="G104" s="155" t="s">
        <v>32</v>
      </c>
      <c r="H104" s="126" t="s">
        <v>33</v>
      </c>
      <c r="I104" s="125" t="s">
        <v>34</v>
      </c>
      <c r="J104" s="126" t="s">
        <v>35</v>
      </c>
      <c r="K104" s="126" t="s">
        <v>49</v>
      </c>
      <c r="L104" s="126" t="s">
        <v>37</v>
      </c>
      <c r="M104" s="126" t="s">
        <v>38</v>
      </c>
      <c r="N104" s="126" t="s">
        <v>50</v>
      </c>
      <c r="O104" s="126" t="s">
        <v>40</v>
      </c>
      <c r="P104" s="125"/>
      <c r="Q104" s="51">
        <v>46266</v>
      </c>
      <c r="R104"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46427</v>
      </c>
      <c r="S104" s="88">
        <f>IF(PRIORIDAD_UNO[[#This Row],[Fin Desarrollo]]="","",IF(ISBLANK(VLOOKUP(PRIORIDAD_UNO[[#This Row],[Nombre del requerimiento]],'Cálculos Manual'!A:H,8,FALSE)),WORKDAY(PRIORIDAD_UNO[[#This Row],[Fin Desarrollo]],5,FERIADOS[Fecha]), VLOOKUP(PRIORIDAD_UNO[[#This Row],[Nombre del requerimiento]],'Cálculos Manual'!A:H,8,FALSE)))</f>
        <v>46434</v>
      </c>
      <c r="T104"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46506</v>
      </c>
      <c r="U104" s="88">
        <f>IF(PRIORIDAD_UNO[[#This Row],[Fin Calidad]]="","",IF(ISBLANK(VLOOKUP(PRIORIDAD_UNO[[#This Row],[Nombre del requerimiento]],'Cálculos Manual'!A:L,12,FALSE)), WORKDAY(PRIORIDAD_UNO[[#This Row],[Fin Calidad]],5,FERIADOS[Fecha]), VLOOKUP(PRIORIDAD_UNO[[#This Row],[Nombre del requerimiento]],'Cálculos Manual'!A:L,12,FALSE)))</f>
        <v>46513</v>
      </c>
      <c r="V104"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46527</v>
      </c>
      <c r="W104" s="87">
        <f>IFERROR(PRIORIDAD_UNO[[#This Row],[Fin Producción]]-PRIORIDAD_UNO[[#This Row],[Comienzo Desarrollo]],"")</f>
        <v>261</v>
      </c>
      <c r="X104" s="132" t="str">
        <f>IF(ISBLANK(PRIORIDAD_UNO[[#This Row],[Comienzo Desarrollo]]),"Sin Fecha","Con Fecha")</f>
        <v>Con Fecha</v>
      </c>
      <c r="Y104" s="129" t="str">
        <f>IF(PRIORIDAD_UNO[[#This Row],[Esfuerzo Estimado Desarrollo]]="No definido","Sin esfuerzo","Con esfuerzo")</f>
        <v>Con esfuerzo</v>
      </c>
      <c r="Z104"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04" s="239" t="str">
        <f>IF(PRIORIDAD_UNO[[#This Row],[Comienzo Producción]]="","Por Definir",_xlfn.CONCAT(YEAR(PRIORIDAD_UNO[[#This Row],[Comienzo Producción]])," - ", MONTH(PRIORIDAD_UNO[[#This Row],[Comienzo Producción]])))</f>
        <v>2027 - 5</v>
      </c>
      <c r="AB104" s="101">
        <v>3337</v>
      </c>
      <c r="AC104" s="154"/>
    </row>
    <row r="105" spans="1:29" s="29" customFormat="1" ht="33.75" customHeight="1">
      <c r="A105" s="163" t="s">
        <v>387</v>
      </c>
      <c r="B105" s="126">
        <v>1</v>
      </c>
      <c r="C105" s="126">
        <v>17</v>
      </c>
      <c r="D105" s="126" t="s">
        <v>29</v>
      </c>
      <c r="E105"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05" s="155" t="s">
        <v>68</v>
      </c>
      <c r="G105" s="155" t="s">
        <v>129</v>
      </c>
      <c r="H105" s="126" t="s">
        <v>130</v>
      </c>
      <c r="I105" s="125" t="s">
        <v>60</v>
      </c>
      <c r="J105" s="126" t="s">
        <v>35</v>
      </c>
      <c r="K105" s="126" t="s">
        <v>63</v>
      </c>
      <c r="L105" s="126" t="s">
        <v>37</v>
      </c>
      <c r="M105" s="126" t="s">
        <v>38</v>
      </c>
      <c r="N105" s="126" t="s">
        <v>131</v>
      </c>
      <c r="O105" s="126" t="s">
        <v>132</v>
      </c>
      <c r="P105" s="125"/>
      <c r="Q105" s="51">
        <v>46328</v>
      </c>
      <c r="R105"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46426</v>
      </c>
      <c r="S105" s="88">
        <f>IF(PRIORIDAD_UNO[[#This Row],[Fin Desarrollo]]="","",IF(ISBLANK(VLOOKUP(PRIORIDAD_UNO[[#This Row],[Nombre del requerimiento]],'Cálculos Manual'!A:H,8,FALSE)),WORKDAY(PRIORIDAD_UNO[[#This Row],[Fin Desarrollo]],5,FERIADOS[Fecha]), VLOOKUP(PRIORIDAD_UNO[[#This Row],[Nombre del requerimiento]],'Cálculos Manual'!A:H,8,FALSE)))</f>
        <v>46433</v>
      </c>
      <c r="T105"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46491</v>
      </c>
      <c r="U105" s="88">
        <f>IF(PRIORIDAD_UNO[[#This Row],[Fin Calidad]]="","",IF(ISBLANK(VLOOKUP(PRIORIDAD_UNO[[#This Row],[Nombre del requerimiento]],'Cálculos Manual'!A:L,12,FALSE)), WORKDAY(PRIORIDAD_UNO[[#This Row],[Fin Calidad]],5,FERIADOS[Fecha]), VLOOKUP(PRIORIDAD_UNO[[#This Row],[Nombre del requerimiento]],'Cálculos Manual'!A:L,12,FALSE)))</f>
        <v>46498</v>
      </c>
      <c r="V105"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46505</v>
      </c>
      <c r="W105" s="87">
        <f>IFERROR(PRIORIDAD_UNO[[#This Row],[Fin Producción]]-PRIORIDAD_UNO[[#This Row],[Comienzo Desarrollo]],"")</f>
        <v>177</v>
      </c>
      <c r="X105" s="132" t="str">
        <f>IF(ISBLANK(PRIORIDAD_UNO[[#This Row],[Comienzo Desarrollo]]),"Sin Fecha","Con Fecha")</f>
        <v>Con Fecha</v>
      </c>
      <c r="Y105" s="129" t="str">
        <f>IF(PRIORIDAD_UNO[[#This Row],[Esfuerzo Estimado Desarrollo]]="No definido","Sin esfuerzo","Con esfuerzo")</f>
        <v>Con esfuerzo</v>
      </c>
      <c r="Z105"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05" s="239" t="str">
        <f>IF(PRIORIDAD_UNO[[#This Row],[Comienzo Producción]]="","Por Definir",_xlfn.CONCAT(YEAR(PRIORIDAD_UNO[[#This Row],[Comienzo Producción]])," - ", MONTH(PRIORIDAD_UNO[[#This Row],[Comienzo Producción]])))</f>
        <v>2027 - 4</v>
      </c>
      <c r="AB105" s="101" t="s">
        <v>116</v>
      </c>
      <c r="AC105" s="154"/>
    </row>
    <row r="106" spans="1:29" s="29" customFormat="1" ht="33.75" customHeight="1">
      <c r="A106" s="219" t="s">
        <v>388</v>
      </c>
      <c r="B106" s="126">
        <v>1</v>
      </c>
      <c r="C106" s="126">
        <v>10</v>
      </c>
      <c r="D106" s="126" t="s">
        <v>46</v>
      </c>
      <c r="E106"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106" s="126" t="s">
        <v>31</v>
      </c>
      <c r="G106" s="126" t="s">
        <v>32</v>
      </c>
      <c r="H106" s="126" t="s">
        <v>33</v>
      </c>
      <c r="I106" s="125" t="s">
        <v>34</v>
      </c>
      <c r="J106" s="126" t="s">
        <v>35</v>
      </c>
      <c r="K106" s="126" t="s">
        <v>49</v>
      </c>
      <c r="L106" s="126" t="s">
        <v>37</v>
      </c>
      <c r="M106" s="126" t="s">
        <v>38</v>
      </c>
      <c r="N106" s="126" t="s">
        <v>50</v>
      </c>
      <c r="O106" s="126" t="s">
        <v>40</v>
      </c>
      <c r="P106" s="125" t="s">
        <v>105</v>
      </c>
      <c r="Q106" s="51">
        <v>46296</v>
      </c>
      <c r="R106"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46457</v>
      </c>
      <c r="S106" s="88">
        <f>IF(PRIORIDAD_UNO[[#This Row],[Fin Desarrollo]]="","",IF(ISBLANK(VLOOKUP(PRIORIDAD_UNO[[#This Row],[Nombre del requerimiento]],'Cálculos Manual'!A:H,8,FALSE)),WORKDAY(PRIORIDAD_UNO[[#This Row],[Fin Desarrollo]],5,FERIADOS[Fecha]), VLOOKUP(PRIORIDAD_UNO[[#This Row],[Nombre del requerimiento]],'Cálculos Manual'!A:H,8,FALSE)))</f>
        <v>46464</v>
      </c>
      <c r="T106"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46538</v>
      </c>
      <c r="U106" s="88">
        <f>IF(PRIORIDAD_UNO[[#This Row],[Fin Calidad]]="","",IF(ISBLANK(VLOOKUP(PRIORIDAD_UNO[[#This Row],[Nombre del requerimiento]],'Cálculos Manual'!A:L,12,FALSE)), WORKDAY(PRIORIDAD_UNO[[#This Row],[Fin Calidad]],5,FERIADOS[Fecha]), VLOOKUP(PRIORIDAD_UNO[[#This Row],[Nombre del requerimiento]],'Cálculos Manual'!A:L,12,FALSE)))</f>
        <v>46546</v>
      </c>
      <c r="V106"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46560</v>
      </c>
      <c r="W106" s="87">
        <f>IFERROR(PRIORIDAD_UNO[[#This Row],[Fin Producción]]-PRIORIDAD_UNO[[#This Row],[Comienzo Desarrollo]],"")</f>
        <v>264</v>
      </c>
      <c r="X106" s="132" t="str">
        <f>IF(ISBLANK(PRIORIDAD_UNO[[#This Row],[Comienzo Desarrollo]]),"Sin Fecha","Con Fecha")</f>
        <v>Con Fecha</v>
      </c>
      <c r="Y106" s="129" t="str">
        <f>IF(PRIORIDAD_UNO[[#This Row],[Esfuerzo Estimado Desarrollo]]="No definido","Sin esfuerzo","Con esfuerzo")</f>
        <v>Con esfuerzo</v>
      </c>
      <c r="Z106" s="157"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06" s="239" t="str">
        <f>IF(PRIORIDAD_UNO[[#This Row],[Comienzo Producción]]="","Por Definir",_xlfn.CONCAT(YEAR(PRIORIDAD_UNO[[#This Row],[Comienzo Producción]])," - ", MONTH(PRIORIDAD_UNO[[#This Row],[Comienzo Producción]])))</f>
        <v>2027 - 6</v>
      </c>
      <c r="AB106" s="101">
        <v>3344</v>
      </c>
      <c r="AC106" s="154"/>
    </row>
    <row r="107" spans="1:29" s="29" customFormat="1" ht="33.75" customHeight="1">
      <c r="A107" s="230" t="s">
        <v>389</v>
      </c>
      <c r="B107" s="126">
        <v>1</v>
      </c>
      <c r="C107" s="126">
        <v>1</v>
      </c>
      <c r="D107" s="126" t="s">
        <v>29</v>
      </c>
      <c r="E107"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07" s="126" t="s">
        <v>31</v>
      </c>
      <c r="G107" s="126" t="s">
        <v>32</v>
      </c>
      <c r="H107" s="126" t="s">
        <v>33</v>
      </c>
      <c r="I107" s="125" t="s">
        <v>390</v>
      </c>
      <c r="J107" s="126" t="s">
        <v>35</v>
      </c>
      <c r="K107" s="126" t="s">
        <v>49</v>
      </c>
      <c r="L107" s="126" t="s">
        <v>37</v>
      </c>
      <c r="M107" s="126" t="s">
        <v>38</v>
      </c>
      <c r="N107" s="126" t="s">
        <v>50</v>
      </c>
      <c r="O107" s="126" t="s">
        <v>40</v>
      </c>
      <c r="P107" s="163" t="s">
        <v>391</v>
      </c>
      <c r="Q107" s="51">
        <v>46238</v>
      </c>
      <c r="R107"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46332</v>
      </c>
      <c r="S107" s="88">
        <f>IF(PRIORIDAD_UNO[[#This Row],[Fin Desarrollo]]="","",IF(ISBLANK(VLOOKUP(PRIORIDAD_UNO[[#This Row],[Nombre del requerimiento]],'Cálculos Manual'!A:H,8,FALSE)),WORKDAY(PRIORIDAD_UNO[[#This Row],[Fin Desarrollo]],5,FERIADOS[Fecha]), VLOOKUP(PRIORIDAD_UNO[[#This Row],[Nombre del requerimiento]],'Cálculos Manual'!A:H,8,FALSE)))</f>
        <v>46339</v>
      </c>
      <c r="T107"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46401</v>
      </c>
      <c r="U107" s="88">
        <f>IF(PRIORIDAD_UNO[[#This Row],[Fin Calidad]]="","",IF(ISBLANK(VLOOKUP(PRIORIDAD_UNO[[#This Row],[Nombre del requerimiento]],'Cálculos Manual'!A:L,12,FALSE)), WORKDAY(PRIORIDAD_UNO[[#This Row],[Fin Calidad]],5,FERIADOS[Fecha]), VLOOKUP(PRIORIDAD_UNO[[#This Row],[Nombre del requerimiento]],'Cálculos Manual'!A:L,12,FALSE)))</f>
        <v>46408</v>
      </c>
      <c r="V107"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46415</v>
      </c>
      <c r="W107" s="87">
        <f>IFERROR(PRIORIDAD_UNO[[#This Row],[Fin Producción]]-PRIORIDAD_UNO[[#This Row],[Comienzo Desarrollo]],"")</f>
        <v>177</v>
      </c>
      <c r="X107" s="132" t="str">
        <f>IF(ISBLANK(PRIORIDAD_UNO[[#This Row],[Comienzo Desarrollo]]),"Sin Fecha","Con Fecha")</f>
        <v>Con Fecha</v>
      </c>
      <c r="Y107" s="129" t="str">
        <f>IF(PRIORIDAD_UNO[[#This Row],[Esfuerzo Estimado Desarrollo]]="No definido","Sin esfuerzo","Con esfuerzo")</f>
        <v>Con esfuerzo</v>
      </c>
      <c r="Z107"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07" s="239" t="str">
        <f>IF(PRIORIDAD_UNO[[#This Row],[Comienzo Producción]]="","Por Definir",_xlfn.CONCAT(YEAR(PRIORIDAD_UNO[[#This Row],[Comienzo Producción]])," - ", MONTH(PRIORIDAD_UNO[[#This Row],[Comienzo Producción]])))</f>
        <v>2027 - 1</v>
      </c>
      <c r="AB107" s="101">
        <v>3184</v>
      </c>
      <c r="AC107" s="154"/>
    </row>
    <row r="108" spans="1:29" s="29" customFormat="1" ht="33.75" customHeight="1">
      <c r="A108" s="224" t="s">
        <v>392</v>
      </c>
      <c r="B108" s="126">
        <v>1</v>
      </c>
      <c r="C108" s="47" t="s">
        <v>52</v>
      </c>
      <c r="D108" s="126"/>
      <c r="E108"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108" s="47" t="s">
        <v>31</v>
      </c>
      <c r="G108" s="47" t="s">
        <v>32</v>
      </c>
      <c r="H108" s="47" t="s">
        <v>33</v>
      </c>
      <c r="I108" s="47" t="s">
        <v>393</v>
      </c>
      <c r="J108" s="47" t="s">
        <v>35</v>
      </c>
      <c r="K108" s="47" t="s">
        <v>54</v>
      </c>
      <c r="L108" s="47" t="s">
        <v>80</v>
      </c>
      <c r="M108" s="47" t="s">
        <v>38</v>
      </c>
      <c r="N108" s="126"/>
      <c r="O108" s="126" t="s">
        <v>40</v>
      </c>
      <c r="P108" s="125"/>
      <c r="Q108" s="134"/>
      <c r="R108" s="127"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108" s="127" t="str">
        <f>IF(PRIORIDAD_UNO[[#This Row],[Fin Desarrollo]]="","",IF(ISBLANK(VLOOKUP(PRIORIDAD_UNO[[#This Row],[Nombre del requerimiento]],'Cálculos Manual'!A:H,8,FALSE)),WORKDAY(PRIORIDAD_UNO[[#This Row],[Fin Desarrollo]],5,FERIADOS[Fecha]), VLOOKUP(PRIORIDAD_UNO[[#This Row],[Nombre del requerimiento]],'Cálculos Manual'!A:H,8,FALSE)))</f>
        <v/>
      </c>
      <c r="T108" s="127"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108" s="127" t="str">
        <f>IF(PRIORIDAD_UNO[[#This Row],[Fin Calidad]]="","",IF(ISBLANK(VLOOKUP(PRIORIDAD_UNO[[#This Row],[Nombre del requerimiento]],'Cálculos Manual'!A:L,12,FALSE)), WORKDAY(PRIORIDAD_UNO[[#This Row],[Fin Calidad]],5,FERIADOS[Fecha]), VLOOKUP(PRIORIDAD_UNO[[#This Row],[Nombre del requerimiento]],'Cálculos Manual'!A:L,12,FALSE)))</f>
        <v/>
      </c>
      <c r="V108" s="127"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108" s="128" t="str">
        <f>IFERROR(PRIORIDAD_UNO[[#This Row],[Fin Producción]]-PRIORIDAD_UNO[[#This Row],[Comienzo Desarrollo]],"")</f>
        <v/>
      </c>
      <c r="X108" s="132" t="str">
        <f>IF(ISBLANK(PRIORIDAD_UNO[[#This Row],[Comienzo Desarrollo]]),"Sin Fecha","Con Fecha")</f>
        <v>Sin Fecha</v>
      </c>
      <c r="Y108" s="129" t="str">
        <f>IF(PRIORIDAD_UNO[[#This Row],[Esfuerzo Estimado Desarrollo]]="No definido","Sin esfuerzo","Con esfuerzo")</f>
        <v>Con esfuerzo</v>
      </c>
      <c r="Z108" s="158"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108" s="239" t="str">
        <f>IF(PRIORIDAD_UNO[[#This Row],[Comienzo Producción]]="","Por Definir",_xlfn.CONCAT(YEAR(PRIORIDAD_UNO[[#This Row],[Comienzo Producción]])," - ", MONTH(PRIORIDAD_UNO[[#This Row],[Comienzo Producción]])))</f>
        <v>Por Definir</v>
      </c>
      <c r="AB108" s="101" t="s">
        <v>116</v>
      </c>
      <c r="AC108" s="154"/>
    </row>
    <row r="109" spans="1:29" s="29" customFormat="1" ht="33.75" customHeight="1">
      <c r="A109" s="163" t="s">
        <v>394</v>
      </c>
      <c r="B109" s="126">
        <v>1</v>
      </c>
      <c r="C109" s="126">
        <v>2</v>
      </c>
      <c r="D109" s="126" t="s">
        <v>46</v>
      </c>
      <c r="E109"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109" s="126" t="s">
        <v>70</v>
      </c>
      <c r="G109" s="126" t="s">
        <v>163</v>
      </c>
      <c r="H109" s="126" t="s">
        <v>395</v>
      </c>
      <c r="I109" s="125" t="s">
        <v>396</v>
      </c>
      <c r="J109" s="155" t="s">
        <v>35</v>
      </c>
      <c r="K109" s="126" t="s">
        <v>36</v>
      </c>
      <c r="L109" s="126" t="s">
        <v>37</v>
      </c>
      <c r="M109" s="126" t="s">
        <v>38</v>
      </c>
      <c r="N109" s="126" t="s">
        <v>166</v>
      </c>
      <c r="O109" s="126" t="s">
        <v>167</v>
      </c>
      <c r="P109" s="125"/>
      <c r="Q109" s="51">
        <v>46272</v>
      </c>
      <c r="R109"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46433</v>
      </c>
      <c r="S109" s="88">
        <f>IF(PRIORIDAD_UNO[[#This Row],[Fin Desarrollo]]="","",IF(ISBLANK(VLOOKUP(PRIORIDAD_UNO[[#This Row],[Nombre del requerimiento]],'Cálculos Manual'!A:H,8,FALSE)),WORKDAY(PRIORIDAD_UNO[[#This Row],[Fin Desarrollo]],5,FERIADOS[Fecha]), VLOOKUP(PRIORIDAD_UNO[[#This Row],[Nombre del requerimiento]],'Cálculos Manual'!A:H,8,FALSE)))</f>
        <v>46440</v>
      </c>
      <c r="T109"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46512</v>
      </c>
      <c r="U109" s="88">
        <f>IF(PRIORIDAD_UNO[[#This Row],[Fin Calidad]]="","",IF(ISBLANK(VLOOKUP(PRIORIDAD_UNO[[#This Row],[Nombre del requerimiento]],'Cálculos Manual'!A:L,12,FALSE)), WORKDAY(PRIORIDAD_UNO[[#This Row],[Fin Calidad]],5,FERIADOS[Fecha]), VLOOKUP(PRIORIDAD_UNO[[#This Row],[Nombre del requerimiento]],'Cálculos Manual'!A:L,12,FALSE)))</f>
        <v>46519</v>
      </c>
      <c r="V109"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46533</v>
      </c>
      <c r="W109" s="87">
        <f>IFERROR(PRIORIDAD_UNO[[#This Row],[Fin Producción]]-PRIORIDAD_UNO[[#This Row],[Comienzo Desarrollo]],"")</f>
        <v>261</v>
      </c>
      <c r="X109" s="132" t="str">
        <f>IF(ISBLANK(PRIORIDAD_UNO[[#This Row],[Comienzo Desarrollo]]),"Sin Fecha","Con Fecha")</f>
        <v>Con Fecha</v>
      </c>
      <c r="Y109" s="129" t="str">
        <f>IF(PRIORIDAD_UNO[[#This Row],[Esfuerzo Estimado Desarrollo]]="No definido","Sin esfuerzo","Con esfuerzo")</f>
        <v>Con esfuerzo</v>
      </c>
      <c r="Z109"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09" s="239" t="str">
        <f>IF(PRIORIDAD_UNO[[#This Row],[Comienzo Producción]]="","Por Definir",_xlfn.CONCAT(YEAR(PRIORIDAD_UNO[[#This Row],[Comienzo Producción]])," - ", MONTH(PRIORIDAD_UNO[[#This Row],[Comienzo Producción]])))</f>
        <v>2027 - 5</v>
      </c>
      <c r="AB109" s="101" t="s">
        <v>116</v>
      </c>
      <c r="AC109" s="154"/>
    </row>
    <row r="110" spans="1:29" s="29" customFormat="1" ht="33.75" customHeight="1">
      <c r="A110" s="163" t="s">
        <v>397</v>
      </c>
      <c r="B110" s="126">
        <v>1</v>
      </c>
      <c r="C110" s="40">
        <v>4</v>
      </c>
      <c r="D110" s="40" t="s">
        <v>398</v>
      </c>
      <c r="E110"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Proyecto</v>
      </c>
      <c r="F110" s="141" t="s">
        <v>70</v>
      </c>
      <c r="G110" s="130" t="s">
        <v>259</v>
      </c>
      <c r="H110" s="42" t="s">
        <v>260</v>
      </c>
      <c r="I110" s="41" t="s">
        <v>399</v>
      </c>
      <c r="J110" s="126" t="s">
        <v>35</v>
      </c>
      <c r="K110" s="40" t="s">
        <v>63</v>
      </c>
      <c r="L110" s="126" t="s">
        <v>37</v>
      </c>
      <c r="M110" s="42" t="s">
        <v>151</v>
      </c>
      <c r="N110" s="42" t="s">
        <v>262</v>
      </c>
      <c r="O110" s="42" t="s">
        <v>167</v>
      </c>
      <c r="P110" s="125"/>
      <c r="Q110" s="51">
        <v>46327</v>
      </c>
      <c r="R110"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46583</v>
      </c>
      <c r="S110" s="88">
        <f>IF(PRIORIDAD_UNO[[#This Row],[Fin Desarrollo]]="","",IF(ISBLANK(VLOOKUP(PRIORIDAD_UNO[[#This Row],[Nombre del requerimiento]],'Cálculos Manual'!A:H,8,FALSE)),WORKDAY(PRIORIDAD_UNO[[#This Row],[Fin Desarrollo]],5,FERIADOS[Fecha]), VLOOKUP(PRIORIDAD_UNO[[#This Row],[Nombre del requerimiento]],'Cálculos Manual'!A:H,8,FALSE)))</f>
        <v>46590</v>
      </c>
      <c r="T110"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46667</v>
      </c>
      <c r="U110" s="88">
        <f>IF(PRIORIDAD_UNO[[#This Row],[Fin Calidad]]="","",IF(ISBLANK(VLOOKUP(PRIORIDAD_UNO[[#This Row],[Nombre del requerimiento]],'Cálculos Manual'!A:L,12,FALSE)), WORKDAY(PRIORIDAD_UNO[[#This Row],[Fin Calidad]],5,FERIADOS[Fecha]), VLOOKUP(PRIORIDAD_UNO[[#This Row],[Nombre del requerimiento]],'Cálculos Manual'!A:L,12,FALSE)))</f>
        <v>46675</v>
      </c>
      <c r="V110"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46682</v>
      </c>
      <c r="W110" s="87">
        <f>IFERROR(PRIORIDAD_UNO[[#This Row],[Fin Producción]]-PRIORIDAD_UNO[[#This Row],[Comienzo Desarrollo]],"")</f>
        <v>355</v>
      </c>
      <c r="X110" s="132" t="str">
        <f>IF(ISBLANK(PRIORIDAD_UNO[[#This Row],[Comienzo Desarrollo]]),"Sin Fecha","Con Fecha")</f>
        <v>Con Fecha</v>
      </c>
      <c r="Y110" s="129" t="str">
        <f>IF(PRIORIDAD_UNO[[#This Row],[Esfuerzo Estimado Desarrollo]]="No definido","Sin esfuerzo","Con esfuerzo")</f>
        <v>Con esfuerzo</v>
      </c>
      <c r="Z110"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10" s="239" t="str">
        <f>IF(PRIORIDAD_UNO[[#This Row],[Comienzo Producción]]="","Por Definir",_xlfn.CONCAT(YEAR(PRIORIDAD_UNO[[#This Row],[Comienzo Producción]])," - ", MONTH(PRIORIDAD_UNO[[#This Row],[Comienzo Producción]])))</f>
        <v>2027 - 10</v>
      </c>
      <c r="AB110" s="101" t="s">
        <v>116</v>
      </c>
      <c r="AC110" s="154"/>
    </row>
    <row r="111" spans="1:29" s="29" customFormat="1" ht="33.75" customHeight="1">
      <c r="A111" s="219" t="s">
        <v>400</v>
      </c>
      <c r="B111" s="30">
        <v>1</v>
      </c>
      <c r="C111" s="30">
        <v>11</v>
      </c>
      <c r="D111" s="31" t="s">
        <v>226</v>
      </c>
      <c r="E111"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Extra Grande</v>
      </c>
      <c r="F111" s="30" t="s">
        <v>66</v>
      </c>
      <c r="G111" s="30" t="s">
        <v>172</v>
      </c>
      <c r="H111" s="30" t="s">
        <v>338</v>
      </c>
      <c r="I111" s="32" t="s">
        <v>401</v>
      </c>
      <c r="J111" s="47" t="s">
        <v>35</v>
      </c>
      <c r="K111" s="31" t="s">
        <v>36</v>
      </c>
      <c r="L111" s="31" t="s">
        <v>37</v>
      </c>
      <c r="M111" s="31" t="s">
        <v>38</v>
      </c>
      <c r="N111" s="31" t="s">
        <v>402</v>
      </c>
      <c r="O111" s="31" t="s">
        <v>123</v>
      </c>
      <c r="P111" s="34" t="s">
        <v>403</v>
      </c>
      <c r="Q111" s="121">
        <v>46251</v>
      </c>
      <c r="R111"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46476</v>
      </c>
      <c r="S111" s="88">
        <f>IF(PRIORIDAD_UNO[[#This Row],[Fin Desarrollo]]="","",IF(ISBLANK(VLOOKUP(PRIORIDAD_UNO[[#This Row],[Nombre del requerimiento]],'Cálculos Manual'!A:H,8,FALSE)),WORKDAY(PRIORIDAD_UNO[[#This Row],[Fin Desarrollo]],5,FERIADOS[Fecha]), VLOOKUP(PRIORIDAD_UNO[[#This Row],[Nombre del requerimiento]],'Cálculos Manual'!A:H,8,FALSE)))</f>
        <v>46483</v>
      </c>
      <c r="T111"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46554</v>
      </c>
      <c r="U111" s="88">
        <f>IF(PRIORIDAD_UNO[[#This Row],[Fin Calidad]]="","",IF(ISBLANK(VLOOKUP(PRIORIDAD_UNO[[#This Row],[Nombre del requerimiento]],'Cálculos Manual'!A:L,12,FALSE)), WORKDAY(PRIORIDAD_UNO[[#This Row],[Fin Calidad]],5,FERIADOS[Fecha]), VLOOKUP(PRIORIDAD_UNO[[#This Row],[Nombre del requerimiento]],'Cálculos Manual'!A:L,12,FALSE)))</f>
        <v>46561</v>
      </c>
      <c r="V111"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46568</v>
      </c>
      <c r="W111" s="87">
        <f>IFERROR(PRIORIDAD_UNO[[#This Row],[Fin Producción]]-PRIORIDAD_UNO[[#This Row],[Comienzo Desarrollo]],"")</f>
        <v>317</v>
      </c>
      <c r="X111" s="132" t="str">
        <f>IF(ISBLANK(PRIORIDAD_UNO[[#This Row],[Comienzo Desarrollo]]),"Sin Fecha","Con Fecha")</f>
        <v>Con Fecha</v>
      </c>
      <c r="Y111" s="129" t="str">
        <f>IF(PRIORIDAD_UNO[[#This Row],[Esfuerzo Estimado Desarrollo]]="No definido","Sin esfuerzo","Con esfuerzo")</f>
        <v>Con esfuerzo</v>
      </c>
      <c r="Z111"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11" s="239" t="str">
        <f>IF(PRIORIDAD_UNO[[#This Row],[Comienzo Producción]]="","Por Definir",_xlfn.CONCAT(YEAR(PRIORIDAD_UNO[[#This Row],[Comienzo Producción]])," - ", MONTH(PRIORIDAD_UNO[[#This Row],[Comienzo Producción]])))</f>
        <v>2027 - 6</v>
      </c>
      <c r="AB111" s="101">
        <v>3233</v>
      </c>
      <c r="AC111" s="154"/>
    </row>
    <row r="112" spans="1:29" s="29" customFormat="1" ht="33.75" customHeight="1">
      <c r="A112" s="163" t="s">
        <v>404</v>
      </c>
      <c r="B112" s="164">
        <v>1</v>
      </c>
      <c r="C112" s="164">
        <v>1</v>
      </c>
      <c r="D112" s="164" t="s">
        <v>162</v>
      </c>
      <c r="E112"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12" s="126" t="s">
        <v>68</v>
      </c>
      <c r="G112" s="126" t="s">
        <v>129</v>
      </c>
      <c r="H112" s="164" t="s">
        <v>204</v>
      </c>
      <c r="I112" s="165" t="s">
        <v>60</v>
      </c>
      <c r="J112" s="164" t="s">
        <v>35</v>
      </c>
      <c r="K112" s="164" t="s">
        <v>54</v>
      </c>
      <c r="L112" s="164" t="s">
        <v>37</v>
      </c>
      <c r="M112" s="164" t="s">
        <v>38</v>
      </c>
      <c r="N112" s="164" t="s">
        <v>166</v>
      </c>
      <c r="O112" s="164" t="s">
        <v>132</v>
      </c>
      <c r="P112" s="165"/>
      <c r="Q112" s="49">
        <v>46218</v>
      </c>
      <c r="R112"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46317</v>
      </c>
      <c r="S112" s="86">
        <f>IF(PRIORIDAD_UNO[[#This Row],[Fin Desarrollo]]="","",IF(ISBLANK(VLOOKUP(PRIORIDAD_UNO[[#This Row],[Nombre del requerimiento]],'Cálculos Manual'!A:H,8,FALSE)),WORKDAY(PRIORIDAD_UNO[[#This Row],[Fin Desarrollo]],5,FERIADOS[Fecha]), VLOOKUP(PRIORIDAD_UNO[[#This Row],[Nombre del requerimiento]],'Cálculos Manual'!A:H,8,FALSE)))</f>
        <v>46324</v>
      </c>
      <c r="T112" s="86">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46385</v>
      </c>
      <c r="U112" s="86">
        <f>IF(PRIORIDAD_UNO[[#This Row],[Fin Calidad]]="","",IF(ISBLANK(VLOOKUP(PRIORIDAD_UNO[[#This Row],[Nombre del requerimiento]],'Cálculos Manual'!A:L,12,FALSE)), WORKDAY(PRIORIDAD_UNO[[#This Row],[Fin Calidad]],5,FERIADOS[Fecha]), VLOOKUP(PRIORIDAD_UNO[[#This Row],[Nombre del requerimiento]],'Cálculos Manual'!A:L,12,FALSE)))</f>
        <v>46393</v>
      </c>
      <c r="V112" s="86">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46400</v>
      </c>
      <c r="W112" s="85">
        <f>IFERROR(PRIORIDAD_UNO[[#This Row],[Fin Producción]]-PRIORIDAD_UNO[[#This Row],[Comienzo Desarrollo]],"")</f>
        <v>182</v>
      </c>
      <c r="X112" s="132" t="str">
        <f>IF(ISBLANK(PRIORIDAD_UNO[[#This Row],[Comienzo Desarrollo]]),"Sin Fecha","Con Fecha")</f>
        <v>Con Fecha</v>
      </c>
      <c r="Y112" s="129" t="str">
        <f>IF(PRIORIDAD_UNO[[#This Row],[Esfuerzo Estimado Desarrollo]]="No definido","Sin esfuerzo","Con esfuerzo")</f>
        <v>Con esfuerzo</v>
      </c>
      <c r="Z112" s="162"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12" s="239" t="str">
        <f>IF(PRIORIDAD_UNO[[#This Row],[Comienzo Producción]]="","Por Definir",_xlfn.CONCAT(YEAR(PRIORIDAD_UNO[[#This Row],[Comienzo Producción]])," - ", MONTH(PRIORIDAD_UNO[[#This Row],[Comienzo Producción]])))</f>
        <v>2027 - 1</v>
      </c>
      <c r="AB112" s="101" t="s">
        <v>116</v>
      </c>
      <c r="AC112" s="154"/>
    </row>
    <row r="113" spans="1:29" s="29" customFormat="1" ht="33.75" customHeight="1">
      <c r="A113" s="220" t="s">
        <v>405</v>
      </c>
      <c r="B113" s="167">
        <v>1</v>
      </c>
      <c r="C113" s="167">
        <v>8</v>
      </c>
      <c r="D113" s="167" t="s">
        <v>29</v>
      </c>
      <c r="E113" s="164"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13" s="164" t="s">
        <v>31</v>
      </c>
      <c r="G113" s="164" t="s">
        <v>32</v>
      </c>
      <c r="H113" s="167" t="s">
        <v>33</v>
      </c>
      <c r="I113" s="168" t="s">
        <v>34</v>
      </c>
      <c r="J113" s="167" t="s">
        <v>35</v>
      </c>
      <c r="K113" s="167" t="s">
        <v>49</v>
      </c>
      <c r="L113" s="126" t="s">
        <v>37</v>
      </c>
      <c r="M113" s="167" t="s">
        <v>38</v>
      </c>
      <c r="N113" s="169" t="s">
        <v>50</v>
      </c>
      <c r="O113" s="167" t="s">
        <v>40</v>
      </c>
      <c r="P113" s="151" t="s">
        <v>406</v>
      </c>
      <c r="Q113" s="48">
        <v>46287</v>
      </c>
      <c r="R113" s="86">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46385</v>
      </c>
      <c r="S113" s="82">
        <f>IF(PRIORIDAD_UNO[[#This Row],[Fin Desarrollo]]="","",IF(ISBLANK(VLOOKUP(PRIORIDAD_UNO[[#This Row],[Nombre del requerimiento]],'Cálculos Manual'!A:H,8,FALSE)),WORKDAY(PRIORIDAD_UNO[[#This Row],[Fin Desarrollo]],5,FERIADOS[Fecha]), VLOOKUP(PRIORIDAD_UNO[[#This Row],[Nombre del requerimiento]],'Cálculos Manual'!A:H,8,FALSE)))</f>
        <v>46393</v>
      </c>
      <c r="T113" s="82">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46449</v>
      </c>
      <c r="U113" s="81">
        <f>IF(PRIORIDAD_UNO[[#This Row],[Fin Calidad]]="","",IF(ISBLANK(VLOOKUP(PRIORIDAD_UNO[[#This Row],[Nombre del requerimiento]],'Cálculos Manual'!A:L,12,FALSE)), WORKDAY(PRIORIDAD_UNO[[#This Row],[Fin Calidad]],5,FERIADOS[Fecha]), VLOOKUP(PRIORIDAD_UNO[[#This Row],[Nombre del requerimiento]],'Cálculos Manual'!A:L,12,FALSE)))</f>
        <v>46456</v>
      </c>
      <c r="V113" s="82">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46463</v>
      </c>
      <c r="W113" s="80">
        <f>IFERROR(PRIORIDAD_UNO[[#This Row],[Fin Producción]]-PRIORIDAD_UNO[[#This Row],[Comienzo Desarrollo]],"")</f>
        <v>176</v>
      </c>
      <c r="X113" s="132" t="str">
        <f>IF(ISBLANK(PRIORIDAD_UNO[[#This Row],[Comienzo Desarrollo]]),"Sin Fecha","Con Fecha")</f>
        <v>Con Fecha</v>
      </c>
      <c r="Y113" s="170" t="str">
        <f>IF(PRIORIDAD_UNO[[#This Row],[Esfuerzo Estimado Desarrollo]]="No definido","Sin esfuerzo","Con esfuerzo")</f>
        <v>Con esfuerzo</v>
      </c>
      <c r="Z113" s="162"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13" s="239" t="str">
        <f>IF(PRIORIDAD_UNO[[#This Row],[Comienzo Producción]]="","Por Definir",_xlfn.CONCAT(YEAR(PRIORIDAD_UNO[[#This Row],[Comienzo Producción]])," - ", MONTH(PRIORIDAD_UNO[[#This Row],[Comienzo Producción]])))</f>
        <v>2027 - 3</v>
      </c>
      <c r="AB113" s="101">
        <v>3339</v>
      </c>
      <c r="AC113" s="154"/>
    </row>
    <row r="114" spans="1:29" s="29" customFormat="1" ht="33.75" customHeight="1">
      <c r="A114" s="221" t="s">
        <v>407</v>
      </c>
      <c r="B114" s="155">
        <v>1</v>
      </c>
      <c r="C114" s="155">
        <v>12</v>
      </c>
      <c r="D114" s="167" t="s">
        <v>29</v>
      </c>
      <c r="E114" s="155"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14" s="155" t="s">
        <v>31</v>
      </c>
      <c r="G114" s="155" t="s">
        <v>32</v>
      </c>
      <c r="H114" s="155" t="s">
        <v>33</v>
      </c>
      <c r="I114" s="159" t="s">
        <v>34</v>
      </c>
      <c r="J114" s="155" t="s">
        <v>35</v>
      </c>
      <c r="K114" s="155" t="s">
        <v>49</v>
      </c>
      <c r="L114" s="126" t="s">
        <v>37</v>
      </c>
      <c r="M114" s="155" t="s">
        <v>38</v>
      </c>
      <c r="N114" s="155" t="s">
        <v>50</v>
      </c>
      <c r="O114" s="155" t="s">
        <v>40</v>
      </c>
      <c r="P114" s="171" t="s">
        <v>408</v>
      </c>
      <c r="Q114" s="50">
        <v>46315</v>
      </c>
      <c r="R114" s="84">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46413</v>
      </c>
      <c r="S114" s="84">
        <f>IF(PRIORIDAD_UNO[[#This Row],[Fin Desarrollo]]="","",IF(ISBLANK(VLOOKUP(PRIORIDAD_UNO[[#This Row],[Nombre del requerimiento]],'Cálculos Manual'!A:H,8,FALSE)),WORKDAY(PRIORIDAD_UNO[[#This Row],[Fin Desarrollo]],5,FERIADOS[Fecha]), VLOOKUP(PRIORIDAD_UNO[[#This Row],[Nombre del requerimiento]],'Cálculos Manual'!A:H,8,FALSE)))</f>
        <v>46420</v>
      </c>
      <c r="T114" s="84">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46478</v>
      </c>
      <c r="U114" s="84">
        <f>IF(PRIORIDAD_UNO[[#This Row],[Fin Calidad]]="","",IF(ISBLANK(VLOOKUP(PRIORIDAD_UNO[[#This Row],[Nombre del requerimiento]],'Cálculos Manual'!A:L,12,FALSE)), WORKDAY(PRIORIDAD_UNO[[#This Row],[Fin Calidad]],5,FERIADOS[Fecha]), VLOOKUP(PRIORIDAD_UNO[[#This Row],[Nombre del requerimiento]],'Cálculos Manual'!A:L,12,FALSE)))</f>
        <v>46485</v>
      </c>
      <c r="V114" s="84">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46492</v>
      </c>
      <c r="W114" s="83">
        <f>IFERROR(PRIORIDAD_UNO[[#This Row],[Fin Producción]]-PRIORIDAD_UNO[[#This Row],[Comienzo Desarrollo]],"")</f>
        <v>177</v>
      </c>
      <c r="X114" s="172" t="str">
        <f>IF(ISBLANK(PRIORIDAD_UNO[[#This Row],[Comienzo Desarrollo]]),"Sin Fecha","Con Fecha")</f>
        <v>Con Fecha</v>
      </c>
      <c r="Y114" s="129" t="str">
        <f>IF(PRIORIDAD_UNO[[#This Row],[Esfuerzo Estimado Desarrollo]]="No definido","Sin esfuerzo","Con esfuerzo")</f>
        <v>Con esfuerzo</v>
      </c>
      <c r="Z114" s="155"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14" s="239" t="str">
        <f>IF(PRIORIDAD_UNO[[#This Row],[Comienzo Producción]]="","Por Definir",_xlfn.CONCAT(YEAR(PRIORIDAD_UNO[[#This Row],[Comienzo Producción]])," - ", MONTH(PRIORIDAD_UNO[[#This Row],[Comienzo Producción]])))</f>
        <v>2027 - 4</v>
      </c>
      <c r="AB114" s="101">
        <v>3346</v>
      </c>
      <c r="AC114" s="154"/>
    </row>
    <row r="115" spans="1:29" s="29" customFormat="1" ht="33.75" customHeight="1">
      <c r="A115" s="222" t="s">
        <v>409</v>
      </c>
      <c r="B115" s="173">
        <v>1</v>
      </c>
      <c r="C115" s="173">
        <v>10</v>
      </c>
      <c r="D115" s="167" t="s">
        <v>29</v>
      </c>
      <c r="E115" s="173"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15" s="173" t="s">
        <v>31</v>
      </c>
      <c r="G115" s="173" t="s">
        <v>32</v>
      </c>
      <c r="H115" s="173" t="s">
        <v>33</v>
      </c>
      <c r="I115" s="174" t="s">
        <v>34</v>
      </c>
      <c r="J115" s="173" t="s">
        <v>35</v>
      </c>
      <c r="K115" s="173" t="s">
        <v>49</v>
      </c>
      <c r="L115" s="126" t="s">
        <v>37</v>
      </c>
      <c r="M115" s="173" t="s">
        <v>38</v>
      </c>
      <c r="N115" s="173" t="s">
        <v>50</v>
      </c>
      <c r="O115" s="173" t="s">
        <v>40</v>
      </c>
      <c r="P115" s="150" t="s">
        <v>408</v>
      </c>
      <c r="Q115" s="113">
        <v>46315</v>
      </c>
      <c r="R115" s="114">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46413</v>
      </c>
      <c r="S115" s="114">
        <f>IF(PRIORIDAD_UNO[[#This Row],[Fin Desarrollo]]="","",IF(ISBLANK(VLOOKUP(PRIORIDAD_UNO[[#This Row],[Nombre del requerimiento]],'Cálculos Manual'!A:H,8,FALSE)),WORKDAY(PRIORIDAD_UNO[[#This Row],[Fin Desarrollo]],5,FERIADOS[Fecha]), VLOOKUP(PRIORIDAD_UNO[[#This Row],[Nombre del requerimiento]],'Cálculos Manual'!A:H,8,FALSE)))</f>
        <v>46420</v>
      </c>
      <c r="T115" s="114">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46478</v>
      </c>
      <c r="U115" s="114">
        <f>IF(PRIORIDAD_UNO[[#This Row],[Fin Calidad]]="","",IF(ISBLANK(VLOOKUP(PRIORIDAD_UNO[[#This Row],[Nombre del requerimiento]],'Cálculos Manual'!A:L,12,FALSE)), WORKDAY(PRIORIDAD_UNO[[#This Row],[Fin Calidad]],5,FERIADOS[Fecha]), VLOOKUP(PRIORIDAD_UNO[[#This Row],[Nombre del requerimiento]],'Cálculos Manual'!A:L,12,FALSE)))</f>
        <v>46485</v>
      </c>
      <c r="V115" s="114">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46492</v>
      </c>
      <c r="W115" s="115">
        <f>IFERROR(PRIORIDAD_UNO[[#This Row],[Fin Producción]]-PRIORIDAD_UNO[[#This Row],[Comienzo Desarrollo]],"")</f>
        <v>177</v>
      </c>
      <c r="X115" s="175" t="str">
        <f>IF(ISBLANK(PRIORIDAD_UNO[[#This Row],[Comienzo Desarrollo]]),"Sin Fecha","Con Fecha")</f>
        <v>Con Fecha</v>
      </c>
      <c r="Y115" s="176" t="str">
        <f>IF(PRIORIDAD_UNO[[#This Row],[Esfuerzo Estimado Desarrollo]]="No definido","Sin esfuerzo","Con esfuerzo")</f>
        <v>Con esfuerzo</v>
      </c>
      <c r="Z115" s="157"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15" s="239" t="str">
        <f>IF(PRIORIDAD_UNO[[#This Row],[Comienzo Producción]]="","Por Definir",_xlfn.CONCAT(YEAR(PRIORIDAD_UNO[[#This Row],[Comienzo Producción]])," - ", MONTH(PRIORIDAD_UNO[[#This Row],[Comienzo Producción]])))</f>
        <v>2027 - 4</v>
      </c>
      <c r="AB115" s="101">
        <v>3343</v>
      </c>
      <c r="AC115" s="154"/>
    </row>
    <row r="116" spans="1:29" s="29" customFormat="1" ht="33.75" customHeight="1">
      <c r="A116" s="218" t="s">
        <v>410</v>
      </c>
      <c r="B116" s="126">
        <v>1</v>
      </c>
      <c r="C116" s="126">
        <v>8</v>
      </c>
      <c r="D116" s="126" t="s">
        <v>29</v>
      </c>
      <c r="E116"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16" s="126" t="s">
        <v>31</v>
      </c>
      <c r="G116" s="126" t="s">
        <v>32</v>
      </c>
      <c r="H116" s="126" t="s">
        <v>33</v>
      </c>
      <c r="I116" s="125" t="s">
        <v>34</v>
      </c>
      <c r="J116" s="126" t="s">
        <v>35</v>
      </c>
      <c r="K116" s="126" t="s">
        <v>49</v>
      </c>
      <c r="L116" s="126" t="s">
        <v>37</v>
      </c>
      <c r="M116" s="126" t="s">
        <v>38</v>
      </c>
      <c r="N116" s="126" t="s">
        <v>50</v>
      </c>
      <c r="O116" s="126" t="s">
        <v>40</v>
      </c>
      <c r="P116" s="163" t="s">
        <v>411</v>
      </c>
      <c r="Q116" s="51">
        <v>46280</v>
      </c>
      <c r="R116"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46377</v>
      </c>
      <c r="S116" s="88">
        <f>IF(PRIORIDAD_UNO[[#This Row],[Fin Desarrollo]]="","",IF(ISBLANK(VLOOKUP(PRIORIDAD_UNO[[#This Row],[Nombre del requerimiento]],'Cálculos Manual'!A:H,8,FALSE)),WORKDAY(PRIORIDAD_UNO[[#This Row],[Fin Desarrollo]],5,FERIADOS[Fecha]), VLOOKUP(PRIORIDAD_UNO[[#This Row],[Nombre del requerimiento]],'Cálculos Manual'!A:H,8,FALSE)))</f>
        <v>46385</v>
      </c>
      <c r="T116"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46442</v>
      </c>
      <c r="U116" s="88">
        <f>IF(PRIORIDAD_UNO[[#This Row],[Fin Calidad]]="","",IF(ISBLANK(VLOOKUP(PRIORIDAD_UNO[[#This Row],[Nombre del requerimiento]],'Cálculos Manual'!A:L,12,FALSE)), WORKDAY(PRIORIDAD_UNO[[#This Row],[Fin Calidad]],5,FERIADOS[Fecha]), VLOOKUP(PRIORIDAD_UNO[[#This Row],[Nombre del requerimiento]],'Cálculos Manual'!A:L,12,FALSE)))</f>
        <v>46449</v>
      </c>
      <c r="V116"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46456</v>
      </c>
      <c r="W116" s="87">
        <f>IFERROR(PRIORIDAD_UNO[[#This Row],[Fin Producción]]-PRIORIDAD_UNO[[#This Row],[Comienzo Desarrollo]],"")</f>
        <v>176</v>
      </c>
      <c r="X116" s="172" t="str">
        <f>IF(ISBLANK(PRIORIDAD_UNO[[#This Row],[Comienzo Desarrollo]]),"Sin Fecha","Con Fecha")</f>
        <v>Con Fecha</v>
      </c>
      <c r="Y116" s="129" t="str">
        <f>IF(PRIORIDAD_UNO[[#This Row],[Esfuerzo Estimado Desarrollo]]="No definido","Sin esfuerzo","Con esfuerzo")</f>
        <v>Con esfuerzo</v>
      </c>
      <c r="Z116"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16" s="239" t="str">
        <f>IF(PRIORIDAD_UNO[[#This Row],[Comienzo Producción]]="","Por Definir",_xlfn.CONCAT(YEAR(PRIORIDAD_UNO[[#This Row],[Comienzo Producción]])," - ", MONTH(PRIORIDAD_UNO[[#This Row],[Comienzo Producción]])))</f>
        <v>2027 - 3</v>
      </c>
      <c r="AB116" s="101">
        <v>3341</v>
      </c>
      <c r="AC116" s="154"/>
    </row>
    <row r="117" spans="1:29" s="29" customFormat="1" ht="33.75" customHeight="1">
      <c r="A117" s="219" t="s">
        <v>412</v>
      </c>
      <c r="B117" s="138">
        <v>1</v>
      </c>
      <c r="C117" s="139">
        <v>10</v>
      </c>
      <c r="D117" s="139" t="s">
        <v>29</v>
      </c>
      <c r="E117"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17" s="138" t="s">
        <v>66</v>
      </c>
      <c r="G117" s="142" t="s">
        <v>172</v>
      </c>
      <c r="H117" s="30" t="s">
        <v>338</v>
      </c>
      <c r="I117" s="32" t="s">
        <v>413</v>
      </c>
      <c r="J117" s="47" t="s">
        <v>35</v>
      </c>
      <c r="K117" s="139" t="s">
        <v>36</v>
      </c>
      <c r="L117" s="139" t="s">
        <v>37</v>
      </c>
      <c r="M117" s="139" t="s">
        <v>38</v>
      </c>
      <c r="N117" s="139" t="s">
        <v>122</v>
      </c>
      <c r="O117" s="102" t="s">
        <v>123</v>
      </c>
      <c r="P117" s="149" t="s">
        <v>414</v>
      </c>
      <c r="Q117" s="153">
        <v>46251</v>
      </c>
      <c r="R117" s="79">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46344</v>
      </c>
      <c r="S117" s="79">
        <f>IF(PRIORIDAD_UNO[[#This Row],[Fin Desarrollo]]="","",IF(ISBLANK(VLOOKUP(PRIORIDAD_UNO[[#This Row],[Nombre del requerimiento]],'Cálculos Manual'!A:H,8,FALSE)),WORKDAY(PRIORIDAD_UNO[[#This Row],[Fin Desarrollo]],5,FERIADOS[Fecha]), VLOOKUP(PRIORIDAD_UNO[[#This Row],[Nombre del requerimiento]],'Cálculos Manual'!A:H,8,FALSE)))</f>
        <v>46351</v>
      </c>
      <c r="T117" s="79">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46413</v>
      </c>
      <c r="U117" s="79">
        <f>IF(PRIORIDAD_UNO[[#This Row],[Fin Calidad]]="","",IF(ISBLANK(VLOOKUP(PRIORIDAD_UNO[[#This Row],[Nombre del requerimiento]],'Cálculos Manual'!A:L,12,FALSE)), WORKDAY(PRIORIDAD_UNO[[#This Row],[Fin Calidad]],5,FERIADOS[Fecha]), VLOOKUP(PRIORIDAD_UNO[[#This Row],[Nombre del requerimiento]],'Cálculos Manual'!A:L,12,FALSE)))</f>
        <v>46420</v>
      </c>
      <c r="V117" s="79">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46427</v>
      </c>
      <c r="W117" s="78">
        <f>IFERROR(PRIORIDAD_UNO[[#This Row],[Fin Producción]]-PRIORIDAD_UNO[[#This Row],[Comienzo Desarrollo]],"")</f>
        <v>176</v>
      </c>
      <c r="X117" s="172" t="str">
        <f>IF(ISBLANK(PRIORIDAD_UNO[[#This Row],[Comienzo Desarrollo]]),"Sin Fecha","Con Fecha")</f>
        <v>Con Fecha</v>
      </c>
      <c r="Y117" s="129" t="str">
        <f>IF(PRIORIDAD_UNO[[#This Row],[Esfuerzo Estimado Desarrollo]]="No definido","Sin esfuerzo","Con esfuerzo")</f>
        <v>Con esfuerzo</v>
      </c>
      <c r="Z117" s="162"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17" s="239" t="str">
        <f>IF(PRIORIDAD_UNO[[#This Row],[Comienzo Producción]]="","Por Definir",_xlfn.CONCAT(YEAR(PRIORIDAD_UNO[[#This Row],[Comienzo Producción]])," - ", MONTH(PRIORIDAD_UNO[[#This Row],[Comienzo Producción]])))</f>
        <v>2027 - 2</v>
      </c>
      <c r="AB117" s="101">
        <v>3232</v>
      </c>
      <c r="AC117" s="154"/>
    </row>
    <row r="118" spans="1:29" s="29" customFormat="1" ht="33.75" customHeight="1">
      <c r="A118" s="219" t="s">
        <v>415</v>
      </c>
      <c r="B118" s="30">
        <v>1</v>
      </c>
      <c r="C118" s="30">
        <v>12</v>
      </c>
      <c r="D118" s="31" t="s">
        <v>162</v>
      </c>
      <c r="E118" s="4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18" s="30" t="s">
        <v>66</v>
      </c>
      <c r="G118" s="30" t="s">
        <v>172</v>
      </c>
      <c r="H118" s="30" t="s">
        <v>338</v>
      </c>
      <c r="I118" s="32" t="s">
        <v>416</v>
      </c>
      <c r="J118" s="47" t="s">
        <v>35</v>
      </c>
      <c r="K118" s="31" t="s">
        <v>36</v>
      </c>
      <c r="L118" s="31" t="s">
        <v>37</v>
      </c>
      <c r="M118" s="31" t="s">
        <v>38</v>
      </c>
      <c r="N118" s="135" t="s">
        <v>122</v>
      </c>
      <c r="O118" s="33" t="s">
        <v>123</v>
      </c>
      <c r="P118" s="136"/>
      <c r="Q118" s="121">
        <v>46251</v>
      </c>
      <c r="R118"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46344</v>
      </c>
      <c r="S118" s="88">
        <f>IF(PRIORIDAD_UNO[[#This Row],[Fin Desarrollo]]="","",IF(ISBLANK(VLOOKUP(PRIORIDAD_UNO[[#This Row],[Nombre del requerimiento]],'Cálculos Manual'!A:H,8,FALSE)),WORKDAY(PRIORIDAD_UNO[[#This Row],[Fin Desarrollo]],5,FERIADOS[Fecha]), VLOOKUP(PRIORIDAD_UNO[[#This Row],[Nombre del requerimiento]],'Cálculos Manual'!A:H,8,FALSE)))</f>
        <v>46351</v>
      </c>
      <c r="T118"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46413</v>
      </c>
      <c r="U118" s="88">
        <f>IF(PRIORIDAD_UNO[[#This Row],[Fin Calidad]]="","",IF(ISBLANK(VLOOKUP(PRIORIDAD_UNO[[#This Row],[Nombre del requerimiento]],'Cálculos Manual'!A:L,12,FALSE)), WORKDAY(PRIORIDAD_UNO[[#This Row],[Fin Calidad]],5,FERIADOS[Fecha]), VLOOKUP(PRIORIDAD_UNO[[#This Row],[Nombre del requerimiento]],'Cálculos Manual'!A:L,12,FALSE)))</f>
        <v>46420</v>
      </c>
      <c r="V118"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46427</v>
      </c>
      <c r="W118" s="87">
        <f>IFERROR(PRIORIDAD_UNO[[#This Row],[Fin Producción]]-PRIORIDAD_UNO[[#This Row],[Comienzo Desarrollo]],"")</f>
        <v>176</v>
      </c>
      <c r="X118" s="132" t="str">
        <f>IF(ISBLANK(PRIORIDAD_UNO[[#This Row],[Comienzo Desarrollo]]),"Sin Fecha","Con Fecha")</f>
        <v>Con Fecha</v>
      </c>
      <c r="Y118" s="129" t="str">
        <f>IF(PRIORIDAD_UNO[[#This Row],[Esfuerzo Estimado Desarrollo]]="No definido","Sin esfuerzo","Con esfuerzo")</f>
        <v>Con esfuerzo</v>
      </c>
      <c r="Z118"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18" s="239" t="str">
        <f>IF(PRIORIDAD_UNO[[#This Row],[Comienzo Producción]]="","Por Definir",_xlfn.CONCAT(YEAR(PRIORIDAD_UNO[[#This Row],[Comienzo Producción]])," - ", MONTH(PRIORIDAD_UNO[[#This Row],[Comienzo Producción]])))</f>
        <v>2027 - 2</v>
      </c>
      <c r="AB118" s="101">
        <v>3234</v>
      </c>
      <c r="AC118" s="154"/>
    </row>
    <row r="119" spans="1:29" s="29" customFormat="1" ht="33.75" customHeight="1">
      <c r="A119" s="163" t="s">
        <v>417</v>
      </c>
      <c r="B119" s="126">
        <v>1</v>
      </c>
      <c r="C119" s="173">
        <v>6</v>
      </c>
      <c r="D119" s="126" t="s">
        <v>162</v>
      </c>
      <c r="E119"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19" s="126" t="s">
        <v>68</v>
      </c>
      <c r="G119" s="126" t="s">
        <v>129</v>
      </c>
      <c r="H119" s="126" t="s">
        <v>204</v>
      </c>
      <c r="I119" s="125" t="s">
        <v>60</v>
      </c>
      <c r="J119" s="126" t="s">
        <v>35</v>
      </c>
      <c r="K119" s="126" t="s">
        <v>54</v>
      </c>
      <c r="L119" s="126" t="s">
        <v>37</v>
      </c>
      <c r="M119" s="126" t="s">
        <v>38</v>
      </c>
      <c r="N119" s="177" t="s">
        <v>166</v>
      </c>
      <c r="O119" s="155" t="s">
        <v>132</v>
      </c>
      <c r="P119" s="178"/>
      <c r="Q119" s="51">
        <v>46218</v>
      </c>
      <c r="R119"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46317</v>
      </c>
      <c r="S119" s="88">
        <f>IF(PRIORIDAD_UNO[[#This Row],[Fin Desarrollo]]="","",IF(ISBLANK(VLOOKUP(PRIORIDAD_UNO[[#This Row],[Nombre del requerimiento]],'Cálculos Manual'!A:H,8,FALSE)),WORKDAY(PRIORIDAD_UNO[[#This Row],[Fin Desarrollo]],5,FERIADOS[Fecha]), VLOOKUP(PRIORIDAD_UNO[[#This Row],[Nombre del requerimiento]],'Cálculos Manual'!A:H,8,FALSE)))</f>
        <v>46324</v>
      </c>
      <c r="T119"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46385</v>
      </c>
      <c r="U119" s="88">
        <f>IF(PRIORIDAD_UNO[[#This Row],[Fin Calidad]]="","",IF(ISBLANK(VLOOKUP(PRIORIDAD_UNO[[#This Row],[Nombre del requerimiento]],'Cálculos Manual'!A:L,12,FALSE)), WORKDAY(PRIORIDAD_UNO[[#This Row],[Fin Calidad]],5,FERIADOS[Fecha]), VLOOKUP(PRIORIDAD_UNO[[#This Row],[Nombre del requerimiento]],'Cálculos Manual'!A:L,12,FALSE)))</f>
        <v>46393</v>
      </c>
      <c r="V119"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46400</v>
      </c>
      <c r="W119" s="87">
        <f>IFERROR(PRIORIDAD_UNO[[#This Row],[Fin Producción]]-PRIORIDAD_UNO[[#This Row],[Comienzo Desarrollo]],"")</f>
        <v>182</v>
      </c>
      <c r="X119" s="132" t="str">
        <f>IF(ISBLANK(PRIORIDAD_UNO[[#This Row],[Comienzo Desarrollo]]),"Sin Fecha","Con Fecha")</f>
        <v>Con Fecha</v>
      </c>
      <c r="Y119" s="129" t="str">
        <f>IF(PRIORIDAD_UNO[[#This Row],[Esfuerzo Estimado Desarrollo]]="No definido","Sin esfuerzo","Con esfuerzo")</f>
        <v>Con esfuerzo</v>
      </c>
      <c r="Z119" s="157"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19" s="239" t="str">
        <f>IF(PRIORIDAD_UNO[[#This Row],[Comienzo Producción]]="","Por Definir",_xlfn.CONCAT(YEAR(PRIORIDAD_UNO[[#This Row],[Comienzo Producción]])," - ", MONTH(PRIORIDAD_UNO[[#This Row],[Comienzo Producción]])))</f>
        <v>2027 - 1</v>
      </c>
      <c r="AB119" s="101" t="s">
        <v>116</v>
      </c>
      <c r="AC119" s="154"/>
    </row>
    <row r="120" spans="1:29" s="29" customFormat="1" ht="33.75" customHeight="1">
      <c r="A120" s="163" t="s">
        <v>418</v>
      </c>
      <c r="B120" s="126">
        <v>1</v>
      </c>
      <c r="C120" s="126">
        <v>3</v>
      </c>
      <c r="D120" s="126" t="s">
        <v>162</v>
      </c>
      <c r="E120"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20" s="126" t="s">
        <v>68</v>
      </c>
      <c r="G120" s="126" t="s">
        <v>129</v>
      </c>
      <c r="H120" s="126" t="s">
        <v>204</v>
      </c>
      <c r="I120" s="125" t="s">
        <v>60</v>
      </c>
      <c r="J120" s="126" t="s">
        <v>35</v>
      </c>
      <c r="K120" s="126" t="s">
        <v>54</v>
      </c>
      <c r="L120" s="126" t="s">
        <v>37</v>
      </c>
      <c r="M120" s="126" t="s">
        <v>38</v>
      </c>
      <c r="N120" s="177" t="s">
        <v>166</v>
      </c>
      <c r="O120" s="155" t="s">
        <v>132</v>
      </c>
      <c r="P120" s="178"/>
      <c r="Q120" s="51">
        <v>46218</v>
      </c>
      <c r="R120"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46317</v>
      </c>
      <c r="S120" s="88">
        <f>IF(PRIORIDAD_UNO[[#This Row],[Fin Desarrollo]]="","",IF(ISBLANK(VLOOKUP(PRIORIDAD_UNO[[#This Row],[Nombre del requerimiento]],'Cálculos Manual'!A:H,8,FALSE)),WORKDAY(PRIORIDAD_UNO[[#This Row],[Fin Desarrollo]],5,FERIADOS[Fecha]), VLOOKUP(PRIORIDAD_UNO[[#This Row],[Nombre del requerimiento]],'Cálculos Manual'!A:H,8,FALSE)))</f>
        <v>46324</v>
      </c>
      <c r="T120"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46385</v>
      </c>
      <c r="U120" s="88">
        <f>IF(PRIORIDAD_UNO[[#This Row],[Fin Calidad]]="","",IF(ISBLANK(VLOOKUP(PRIORIDAD_UNO[[#This Row],[Nombre del requerimiento]],'Cálculos Manual'!A:L,12,FALSE)), WORKDAY(PRIORIDAD_UNO[[#This Row],[Fin Calidad]],5,FERIADOS[Fecha]), VLOOKUP(PRIORIDAD_UNO[[#This Row],[Nombre del requerimiento]],'Cálculos Manual'!A:L,12,FALSE)))</f>
        <v>46393</v>
      </c>
      <c r="V120"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46400</v>
      </c>
      <c r="W120" s="87">
        <f>IFERROR(PRIORIDAD_UNO[[#This Row],[Fin Producción]]-PRIORIDAD_UNO[[#This Row],[Comienzo Desarrollo]],"")</f>
        <v>182</v>
      </c>
      <c r="X120" s="132" t="str">
        <f>IF(ISBLANK(PRIORIDAD_UNO[[#This Row],[Comienzo Desarrollo]]),"Sin Fecha","Con Fecha")</f>
        <v>Con Fecha</v>
      </c>
      <c r="Y120" s="129" t="str">
        <f>IF(PRIORIDAD_UNO[[#This Row],[Esfuerzo Estimado Desarrollo]]="No definido","Sin esfuerzo","Con esfuerzo")</f>
        <v>Con esfuerzo</v>
      </c>
      <c r="Z120" s="162"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20" s="239" t="str">
        <f>IF(PRIORIDAD_UNO[[#This Row],[Comienzo Producción]]="","Por Definir",_xlfn.CONCAT(YEAR(PRIORIDAD_UNO[[#This Row],[Comienzo Producción]])," - ", MONTH(PRIORIDAD_UNO[[#This Row],[Comienzo Producción]])))</f>
        <v>2027 - 1</v>
      </c>
      <c r="AB120" s="101" t="s">
        <v>116</v>
      </c>
      <c r="AC120" s="154"/>
    </row>
    <row r="121" spans="1:29" s="29" customFormat="1" ht="33.75" customHeight="1">
      <c r="A121" s="219" t="s">
        <v>28</v>
      </c>
      <c r="B121" s="126">
        <v>1</v>
      </c>
      <c r="C121" s="126">
        <v>14</v>
      </c>
      <c r="D121" s="118" t="s">
        <v>29</v>
      </c>
      <c r="E121"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21" s="126" t="s">
        <v>31</v>
      </c>
      <c r="G121" s="126" t="s">
        <v>32</v>
      </c>
      <c r="H121" s="126" t="s">
        <v>33</v>
      </c>
      <c r="I121" s="125" t="s">
        <v>34</v>
      </c>
      <c r="J121" s="126" t="s">
        <v>35</v>
      </c>
      <c r="K121" s="126" t="s">
        <v>36</v>
      </c>
      <c r="L121" s="126" t="s">
        <v>37</v>
      </c>
      <c r="M121" s="126" t="s">
        <v>38</v>
      </c>
      <c r="N121" s="179" t="s">
        <v>39</v>
      </c>
      <c r="O121" s="155" t="s">
        <v>40</v>
      </c>
      <c r="P121" s="178"/>
      <c r="Q121" s="51">
        <v>46301</v>
      </c>
      <c r="R121"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46400</v>
      </c>
      <c r="S121" s="88">
        <f>IF(PRIORIDAD_UNO[[#This Row],[Fin Desarrollo]]="","",IF(ISBLANK(VLOOKUP(PRIORIDAD_UNO[[#This Row],[Nombre del requerimiento]],'Cálculos Manual'!A:H,8,FALSE)),WORKDAY(PRIORIDAD_UNO[[#This Row],[Fin Desarrollo]],5,FERIADOS[Fecha]), VLOOKUP(PRIORIDAD_UNO[[#This Row],[Nombre del requerimiento]],'Cálculos Manual'!A:H,8,FALSE)))</f>
        <v>46407</v>
      </c>
      <c r="T121"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46463</v>
      </c>
      <c r="U121" s="88">
        <f>IF(PRIORIDAD_UNO[[#This Row],[Fin Calidad]]="","",IF(ISBLANK(VLOOKUP(PRIORIDAD_UNO[[#This Row],[Nombre del requerimiento]],'Cálculos Manual'!A:L,12,FALSE)), WORKDAY(PRIORIDAD_UNO[[#This Row],[Fin Calidad]],5,FERIADOS[Fecha]), VLOOKUP(PRIORIDAD_UNO[[#This Row],[Nombre del requerimiento]],'Cálculos Manual'!A:L,12,FALSE)))</f>
        <v>46470</v>
      </c>
      <c r="V121"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46479</v>
      </c>
      <c r="W121" s="87">
        <f>IFERROR(PRIORIDAD_UNO[[#This Row],[Fin Producción]]-PRIORIDAD_UNO[[#This Row],[Comienzo Desarrollo]],"")</f>
        <v>178</v>
      </c>
      <c r="X121" s="132" t="str">
        <f>IF(ISBLANK(PRIORIDAD_UNO[[#This Row],[Comienzo Desarrollo]]),"Sin Fecha","Con Fecha")</f>
        <v>Con Fecha</v>
      </c>
      <c r="Y121" s="129" t="str">
        <f>IF(PRIORIDAD_UNO[[#This Row],[Esfuerzo Estimado Desarrollo]]="No definido","Sin esfuerzo","Con esfuerzo")</f>
        <v>Con esfuerzo</v>
      </c>
      <c r="Z121" s="133"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21" s="239" t="str">
        <f>IF(PRIORIDAD_UNO[[#This Row],[Comienzo Producción]]="","Por Definir",_xlfn.CONCAT(YEAR(PRIORIDAD_UNO[[#This Row],[Comienzo Producción]])," - ", MONTH(PRIORIDAD_UNO[[#This Row],[Comienzo Producción]])))</f>
        <v>2027 - 3</v>
      </c>
      <c r="AB121" s="101">
        <v>3347</v>
      </c>
      <c r="AC121" s="154"/>
    </row>
    <row r="122" spans="1:29" s="29" customFormat="1" ht="33.75" customHeight="1">
      <c r="A122" s="219" t="s">
        <v>419</v>
      </c>
      <c r="B122" s="126">
        <v>1</v>
      </c>
      <c r="C122" s="126">
        <v>8</v>
      </c>
      <c r="D122" s="126" t="s">
        <v>29</v>
      </c>
      <c r="E122"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22" s="126" t="s">
        <v>31</v>
      </c>
      <c r="G122" s="126" t="s">
        <v>32</v>
      </c>
      <c r="H122" s="126" t="s">
        <v>33</v>
      </c>
      <c r="I122" s="125" t="s">
        <v>34</v>
      </c>
      <c r="J122" s="126" t="s">
        <v>35</v>
      </c>
      <c r="K122" s="126" t="s">
        <v>36</v>
      </c>
      <c r="L122" s="126" t="s">
        <v>37</v>
      </c>
      <c r="M122" s="126" t="s">
        <v>38</v>
      </c>
      <c r="N122" s="179" t="s">
        <v>39</v>
      </c>
      <c r="O122" s="155" t="s">
        <v>40</v>
      </c>
      <c r="P122" s="178"/>
      <c r="Q122" s="51">
        <v>46266</v>
      </c>
      <c r="R122" s="88">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46359</v>
      </c>
      <c r="S122" s="88">
        <f>IF(PRIORIDAD_UNO[[#This Row],[Fin Desarrollo]]="","",IF(ISBLANK(VLOOKUP(PRIORIDAD_UNO[[#This Row],[Nombre del requerimiento]],'Cálculos Manual'!A:H,8,FALSE)),WORKDAY(PRIORIDAD_UNO[[#This Row],[Fin Desarrollo]],5,FERIADOS[Fecha]), VLOOKUP(PRIORIDAD_UNO[[#This Row],[Nombre del requerimiento]],'Cálculos Manual'!A:H,8,FALSE)))</f>
        <v>46370</v>
      </c>
      <c r="T122" s="88">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46428</v>
      </c>
      <c r="U122" s="88">
        <f>IF(PRIORIDAD_UNO[[#This Row],[Fin Calidad]]="","",IF(ISBLANK(VLOOKUP(PRIORIDAD_UNO[[#This Row],[Nombre del requerimiento]],'Cálculos Manual'!A:L,12,FALSE)), WORKDAY(PRIORIDAD_UNO[[#This Row],[Fin Calidad]],5,FERIADOS[Fecha]), VLOOKUP(PRIORIDAD_UNO[[#This Row],[Nombre del requerimiento]],'Cálculos Manual'!A:L,12,FALSE)))</f>
        <v>46435</v>
      </c>
      <c r="V122" s="88">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46442</v>
      </c>
      <c r="W122" s="87">
        <f>IFERROR(PRIORIDAD_UNO[[#This Row],[Fin Producción]]-PRIORIDAD_UNO[[#This Row],[Comienzo Desarrollo]],"")</f>
        <v>176</v>
      </c>
      <c r="X122" s="132" t="str">
        <f>IF(ISBLANK(PRIORIDAD_UNO[[#This Row],[Comienzo Desarrollo]]),"Sin Fecha","Con Fecha")</f>
        <v>Con Fecha</v>
      </c>
      <c r="Y122" s="129" t="str">
        <f>IF(PRIORIDAD_UNO[[#This Row],[Esfuerzo Estimado Desarrollo]]="No definido","Sin esfuerzo","Con esfuerzo")</f>
        <v>Con esfuerzo</v>
      </c>
      <c r="Z122" s="156"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22" s="239" t="str">
        <f>IF(PRIORIDAD_UNO[[#This Row],[Comienzo Producción]]="","Por Definir",_xlfn.CONCAT(YEAR(PRIORIDAD_UNO[[#This Row],[Comienzo Producción]])," - ", MONTH(PRIORIDAD_UNO[[#This Row],[Comienzo Producción]])))</f>
        <v>2027 - 2</v>
      </c>
      <c r="AB122" s="101">
        <v>3342</v>
      </c>
      <c r="AC122" s="154"/>
    </row>
    <row r="123" spans="1:29" s="29" customFormat="1" ht="33.75" customHeight="1">
      <c r="A123" s="163" t="s">
        <v>420</v>
      </c>
      <c r="B123" s="126">
        <v>1</v>
      </c>
      <c r="C123" s="126">
        <v>5</v>
      </c>
      <c r="D123" s="126" t="s">
        <v>162</v>
      </c>
      <c r="E123" s="126"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23" s="126" t="s">
        <v>65</v>
      </c>
      <c r="G123" s="126" t="s">
        <v>148</v>
      </c>
      <c r="H123" s="126" t="s">
        <v>421</v>
      </c>
      <c r="I123" s="125" t="s">
        <v>422</v>
      </c>
      <c r="J123" s="126" t="s">
        <v>35</v>
      </c>
      <c r="K123" s="126" t="s">
        <v>63</v>
      </c>
      <c r="L123" s="126" t="s">
        <v>37</v>
      </c>
      <c r="M123" s="126" t="s">
        <v>151</v>
      </c>
      <c r="N123" s="177" t="s">
        <v>423</v>
      </c>
      <c r="O123" s="155" t="s">
        <v>153</v>
      </c>
      <c r="P123" s="180" t="s">
        <v>424</v>
      </c>
      <c r="Q123" s="49">
        <v>46296</v>
      </c>
      <c r="R123" s="86">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46395</v>
      </c>
      <c r="S123" s="86">
        <f>IF(PRIORIDAD_UNO[[#This Row],[Fin Desarrollo]]="","",IF(ISBLANK(VLOOKUP(PRIORIDAD_UNO[[#This Row],[Nombre del requerimiento]],'Cálculos Manual'!A:H,8,FALSE)),WORKDAY(PRIORIDAD_UNO[[#This Row],[Fin Desarrollo]],5,FERIADOS[Fecha]), VLOOKUP(PRIORIDAD_UNO[[#This Row],[Nombre del requerimiento]],'Cálculos Manual'!A:H,8,FALSE)))</f>
        <v>46402</v>
      </c>
      <c r="T123" s="86">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46458</v>
      </c>
      <c r="U123" s="86">
        <f>IF(PRIORIDAD_UNO[[#This Row],[Fin Calidad]]="","",IF(ISBLANK(VLOOKUP(PRIORIDAD_UNO[[#This Row],[Nombre del requerimiento]],'Cálculos Manual'!A:L,12,FALSE)), WORKDAY(PRIORIDAD_UNO[[#This Row],[Fin Calidad]],5,FERIADOS[Fecha]), VLOOKUP(PRIORIDAD_UNO[[#This Row],[Nombre del requerimiento]],'Cálculos Manual'!A:L,12,FALSE)))</f>
        <v>46465</v>
      </c>
      <c r="V123" s="86">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46476</v>
      </c>
      <c r="W123" s="85">
        <f>IFERROR(PRIORIDAD_UNO[[#This Row],[Fin Producción]]-PRIORIDAD_UNO[[#This Row],[Comienzo Desarrollo]],"")</f>
        <v>180</v>
      </c>
      <c r="X123" s="132" t="str">
        <f>IF(ISBLANK(PRIORIDAD_UNO[[#This Row],[Comienzo Desarrollo]]),"Sin Fecha","Con Fecha")</f>
        <v>Con Fecha</v>
      </c>
      <c r="Y123" s="170" t="str">
        <f>IF(PRIORIDAD_UNO[[#This Row],[Esfuerzo Estimado Desarrollo]]="No definido","Sin esfuerzo","Con esfuerzo")</f>
        <v>Con esfuerzo</v>
      </c>
      <c r="Z123" s="162"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23" s="239" t="str">
        <f>IF(PRIORIDAD_UNO[[#This Row],[Comienzo Producción]]="","Por Definir",_xlfn.CONCAT(YEAR(PRIORIDAD_UNO[[#This Row],[Comienzo Producción]])," - ", MONTH(PRIORIDAD_UNO[[#This Row],[Comienzo Producción]])))</f>
        <v>2027 - 3</v>
      </c>
      <c r="AB123" s="101">
        <v>3370</v>
      </c>
      <c r="AC123" s="154"/>
    </row>
    <row r="124" spans="1:29" s="29" customFormat="1" ht="33.75" customHeight="1">
      <c r="A124" s="223" t="s">
        <v>425</v>
      </c>
      <c r="B124" s="164">
        <v>1</v>
      </c>
      <c r="C124" s="164">
        <v>16</v>
      </c>
      <c r="D124" s="164" t="s">
        <v>29</v>
      </c>
      <c r="E124" s="75"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24" s="164" t="s">
        <v>31</v>
      </c>
      <c r="G124" s="164" t="s">
        <v>32</v>
      </c>
      <c r="H124" s="164" t="s">
        <v>33</v>
      </c>
      <c r="I124" s="165" t="s">
        <v>34</v>
      </c>
      <c r="J124" s="164" t="s">
        <v>35</v>
      </c>
      <c r="K124" s="164" t="s">
        <v>63</v>
      </c>
      <c r="L124" s="164" t="s">
        <v>37</v>
      </c>
      <c r="M124" s="164" t="s">
        <v>55</v>
      </c>
      <c r="N124" s="181" t="s">
        <v>56</v>
      </c>
      <c r="O124" s="169" t="s">
        <v>40</v>
      </c>
      <c r="P124" s="182" t="s">
        <v>426</v>
      </c>
      <c r="Q124" s="51">
        <v>46235</v>
      </c>
      <c r="R124" s="84">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46330</v>
      </c>
      <c r="S124" s="84">
        <f>IF(PRIORIDAD_UNO[[#This Row],[Fin Desarrollo]]="","",IF(ISBLANK(VLOOKUP(PRIORIDAD_UNO[[#This Row],[Nombre del requerimiento]],'Cálculos Manual'!A:H,8,FALSE)),WORKDAY(PRIORIDAD_UNO[[#This Row],[Fin Desarrollo]],5,FERIADOS[Fecha]), VLOOKUP(PRIORIDAD_UNO[[#This Row],[Nombre del requerimiento]],'Cálculos Manual'!A:H,8,FALSE)))</f>
        <v>46337</v>
      </c>
      <c r="T124" s="84">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46399</v>
      </c>
      <c r="U124" s="84">
        <f>IF(PRIORIDAD_UNO[[#This Row],[Fin Calidad]]="","",IF(ISBLANK(VLOOKUP(PRIORIDAD_UNO[[#This Row],[Nombre del requerimiento]],'Cálculos Manual'!A:L,12,FALSE)), WORKDAY(PRIORIDAD_UNO[[#This Row],[Fin Calidad]],5,FERIADOS[Fecha]), VLOOKUP(PRIORIDAD_UNO[[#This Row],[Nombre del requerimiento]],'Cálculos Manual'!A:L,12,FALSE)))</f>
        <v>46406</v>
      </c>
      <c r="V124" s="84">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46413</v>
      </c>
      <c r="W124" s="83">
        <f>IFERROR(PRIORIDAD_UNO[[#This Row],[Fin Producción]]-PRIORIDAD_UNO[[#This Row],[Comienzo Desarrollo]],"")</f>
        <v>178</v>
      </c>
      <c r="X124" s="175" t="str">
        <f>IF(ISBLANK(PRIORIDAD_UNO[[#This Row],[Comienzo Desarrollo]]),"Sin Fecha","Con Fecha")</f>
        <v>Con Fecha</v>
      </c>
      <c r="Y124" s="129" t="str">
        <f>IF(PRIORIDAD_UNO[[#This Row],[Esfuerzo Estimado Desarrollo]]="No definido","Sin esfuerzo","Con esfuerzo")</f>
        <v>Con esfuerzo</v>
      </c>
      <c r="Z124" s="155"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24" s="239" t="str">
        <f>IF(PRIORIDAD_UNO[[#This Row],[Comienzo Producción]]="","Por Definir",_xlfn.CONCAT(YEAR(PRIORIDAD_UNO[[#This Row],[Comienzo Producción]])," - ", MONTH(PRIORIDAD_UNO[[#This Row],[Comienzo Producción]])))</f>
        <v>2027 - 1</v>
      </c>
      <c r="AB124" s="101">
        <v>3348</v>
      </c>
      <c r="AC124" s="154"/>
    </row>
    <row r="125" spans="1:29" s="29" customFormat="1" ht="33.75" customHeight="1">
      <c r="A125" s="171" t="s">
        <v>427</v>
      </c>
      <c r="B125" s="133">
        <v>1</v>
      </c>
      <c r="C125" s="155">
        <v>6</v>
      </c>
      <c r="D125" s="155" t="s">
        <v>29</v>
      </c>
      <c r="E125" s="155"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25" s="155" t="s">
        <v>67</v>
      </c>
      <c r="G125" s="155" t="s">
        <v>67</v>
      </c>
      <c r="H125" s="155" t="s">
        <v>377</v>
      </c>
      <c r="I125" s="159" t="s">
        <v>428</v>
      </c>
      <c r="J125" s="155" t="s">
        <v>35</v>
      </c>
      <c r="K125" s="155" t="s">
        <v>54</v>
      </c>
      <c r="L125" s="155" t="s">
        <v>37</v>
      </c>
      <c r="M125" s="155" t="s">
        <v>38</v>
      </c>
      <c r="N125" s="155" t="s">
        <v>189</v>
      </c>
      <c r="O125" s="148" t="s">
        <v>153</v>
      </c>
      <c r="P125" s="182"/>
      <c r="Q125" s="123">
        <v>46357</v>
      </c>
      <c r="R125" s="131">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46455</v>
      </c>
      <c r="S125" s="131">
        <f>IF(PRIORIDAD_UNO[[#This Row],[Fin Desarrollo]]="","",IF(ISBLANK(VLOOKUP(PRIORIDAD_UNO[[#This Row],[Nombre del requerimiento]],'Cálculos Manual'!A:H,8,FALSE)),WORKDAY(PRIORIDAD_UNO[[#This Row],[Fin Desarrollo]],5,FERIADOS[Fecha]), VLOOKUP(PRIORIDAD_UNO[[#This Row],[Nombre del requerimiento]],'Cálculos Manual'!A:H,8,FALSE)))</f>
        <v>46462</v>
      </c>
      <c r="T125" s="131">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46520</v>
      </c>
      <c r="U125" s="131">
        <f>IF(PRIORIDAD_UNO[[#This Row],[Fin Calidad]]="","",IF(ISBLANK(VLOOKUP(PRIORIDAD_UNO[[#This Row],[Nombre del requerimiento]],'Cálculos Manual'!A:L,12,FALSE)), WORKDAY(PRIORIDAD_UNO[[#This Row],[Fin Calidad]],5,FERIADOS[Fecha]), VLOOKUP(PRIORIDAD_UNO[[#This Row],[Nombre del requerimiento]],'Cálculos Manual'!A:L,12,FALSE)))</f>
        <v>46527</v>
      </c>
      <c r="V125" s="131">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46534</v>
      </c>
      <c r="W125" s="103">
        <f>IFERROR(PRIORIDAD_UNO[[#This Row],[Fin Producción]]-PRIORIDAD_UNO[[#This Row],[Comienzo Desarrollo]],"")</f>
        <v>177</v>
      </c>
      <c r="X125" s="175" t="str">
        <f>IF(ISBLANK(PRIORIDAD_UNO[[#This Row],[Comienzo Desarrollo]]),"Sin Fecha","Con Fecha")</f>
        <v>Con Fecha</v>
      </c>
      <c r="Y125" s="129" t="str">
        <f>IF(PRIORIDAD_UNO[[#This Row],[Esfuerzo Estimado Desarrollo]]="No definido","Sin esfuerzo","Con esfuerzo")</f>
        <v>Con esfuerzo</v>
      </c>
      <c r="Z125" s="155"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25" s="239" t="str">
        <f>IF(PRIORIDAD_UNO[[#This Row],[Comienzo Producción]]="","Por Definir",_xlfn.CONCAT(YEAR(PRIORIDAD_UNO[[#This Row],[Comienzo Producción]])," - ", MONTH(PRIORIDAD_UNO[[#This Row],[Comienzo Producción]])))</f>
        <v>2027 - 5</v>
      </c>
      <c r="AB125" s="101">
        <v>3209</v>
      </c>
      <c r="AC125" s="154"/>
    </row>
    <row r="126" spans="1:29" ht="33.75" customHeight="1">
      <c r="A126" s="228" t="s">
        <v>429</v>
      </c>
      <c r="B126" s="162">
        <v>1</v>
      </c>
      <c r="C126" s="167">
        <v>6</v>
      </c>
      <c r="D126" s="167"/>
      <c r="E126" s="167"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126" s="167" t="s">
        <v>31</v>
      </c>
      <c r="G126" s="167" t="s">
        <v>32</v>
      </c>
      <c r="H126" s="167" t="s">
        <v>33</v>
      </c>
      <c r="I126" s="168"/>
      <c r="J126" s="167" t="s">
        <v>60</v>
      </c>
      <c r="K126" s="167"/>
      <c r="L126" s="126" t="s">
        <v>79</v>
      </c>
      <c r="M126" s="167" t="s">
        <v>38</v>
      </c>
      <c r="N126" s="183" t="s">
        <v>50</v>
      </c>
      <c r="O126" s="169" t="s">
        <v>40</v>
      </c>
      <c r="P126" s="184" t="s">
        <v>430</v>
      </c>
      <c r="Q126" s="48"/>
      <c r="R126" s="82"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126" s="82" t="str">
        <f>IF(PRIORIDAD_UNO[[#This Row],[Fin Desarrollo]]="","",IF(ISBLANK(VLOOKUP(PRIORIDAD_UNO[[#This Row],[Nombre del requerimiento]],'Cálculos Manual'!A:H,8,FALSE)),WORKDAY(PRIORIDAD_UNO[[#This Row],[Fin Desarrollo]],5,FERIADOS[Fecha]), VLOOKUP(PRIORIDAD_UNO[[#This Row],[Nombre del requerimiento]],'Cálculos Manual'!A:H,8,FALSE)))</f>
        <v/>
      </c>
      <c r="T126" s="82"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126" s="82" t="str">
        <f>IF(PRIORIDAD_UNO[[#This Row],[Fin Calidad]]="","",IF(ISBLANK(VLOOKUP(PRIORIDAD_UNO[[#This Row],[Nombre del requerimiento]],'Cálculos Manual'!A:L,12,FALSE)), WORKDAY(PRIORIDAD_UNO[[#This Row],[Fin Calidad]],5,FERIADOS[Fecha]), VLOOKUP(PRIORIDAD_UNO[[#This Row],[Nombre del requerimiento]],'Cálculos Manual'!A:L,12,FALSE)))</f>
        <v/>
      </c>
      <c r="V126" s="82"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126" s="80" t="str">
        <f>IFERROR(PRIORIDAD_UNO[[#This Row],[Fin Producción]]-PRIORIDAD_UNO[[#This Row],[Comienzo Desarrollo]],"")</f>
        <v/>
      </c>
      <c r="X126" s="172" t="str">
        <f>IF(ISBLANK(PRIORIDAD_UNO[[#This Row],[Comienzo Desarrollo]]),"Sin Fecha","Con Fecha")</f>
        <v>Sin Fecha</v>
      </c>
      <c r="Y126" s="170" t="str">
        <f>IF(PRIORIDAD_UNO[[#This Row],[Esfuerzo Estimado Desarrollo]]="No definido","Sin esfuerzo","Con esfuerzo")</f>
        <v>Con esfuerzo</v>
      </c>
      <c r="Z126" s="167"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126" s="239" t="str">
        <f>IF(PRIORIDAD_UNO[[#This Row],[Comienzo Producción]]="","Por Definir",_xlfn.CONCAT(YEAR(PRIORIDAD_UNO[[#This Row],[Comienzo Producción]])," - ", MONTH(PRIORIDAD_UNO[[#This Row],[Comienzo Producción]])))</f>
        <v>Por Definir</v>
      </c>
      <c r="AB126" s="101" t="s">
        <v>431</v>
      </c>
    </row>
    <row r="127" spans="1:29" ht="33.75" customHeight="1">
      <c r="A127" s="229" t="s">
        <v>432</v>
      </c>
      <c r="B127" s="155">
        <v>1</v>
      </c>
      <c r="C127" s="162">
        <v>4</v>
      </c>
      <c r="D127" s="162" t="s">
        <v>162</v>
      </c>
      <c r="E127" s="162"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27" s="162" t="s">
        <v>31</v>
      </c>
      <c r="G127" s="162" t="s">
        <v>32</v>
      </c>
      <c r="H127" s="162" t="s">
        <v>33</v>
      </c>
      <c r="I127" s="185" t="s">
        <v>34</v>
      </c>
      <c r="J127" s="162" t="s">
        <v>35</v>
      </c>
      <c r="K127" s="162" t="s">
        <v>63</v>
      </c>
      <c r="L127" s="162" t="s">
        <v>37</v>
      </c>
      <c r="M127" s="162" t="s">
        <v>55</v>
      </c>
      <c r="N127" s="155" t="s">
        <v>56</v>
      </c>
      <c r="O127" s="155" t="s">
        <v>40</v>
      </c>
      <c r="P127" s="159"/>
      <c r="Q127" s="50">
        <v>46204</v>
      </c>
      <c r="R127" s="84">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46302</v>
      </c>
      <c r="S127" s="84">
        <f>IF(PRIORIDAD_UNO[[#This Row],[Fin Desarrollo]]="","",IF(ISBLANK(VLOOKUP(PRIORIDAD_UNO[[#This Row],[Nombre del requerimiento]],'Cálculos Manual'!A:H,8,FALSE)),WORKDAY(PRIORIDAD_UNO[[#This Row],[Fin Desarrollo]],5,FERIADOS[Fecha]), VLOOKUP(PRIORIDAD_UNO[[#This Row],[Nombre del requerimiento]],'Cálculos Manual'!A:H,8,FALSE)))</f>
        <v>46310</v>
      </c>
      <c r="T127" s="84">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46370</v>
      </c>
      <c r="U127" s="84">
        <f>IF(PRIORIDAD_UNO[[#This Row],[Fin Calidad]]="","",IF(ISBLANK(VLOOKUP(PRIORIDAD_UNO[[#This Row],[Nombre del requerimiento]],'Cálculos Manual'!A:L,12,FALSE)), WORKDAY(PRIORIDAD_UNO[[#This Row],[Fin Calidad]],5,FERIADOS[Fecha]), VLOOKUP(PRIORIDAD_UNO[[#This Row],[Nombre del requerimiento]],'Cálculos Manual'!A:L,12,FALSE)))</f>
        <v>46377</v>
      </c>
      <c r="V127" s="84">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46385</v>
      </c>
      <c r="W127" s="83">
        <f>IFERROR(PRIORIDAD_UNO[[#This Row],[Fin Producción]]-PRIORIDAD_UNO[[#This Row],[Comienzo Desarrollo]],"")</f>
        <v>181</v>
      </c>
      <c r="X127" s="129" t="str">
        <f>IF(ISBLANK(PRIORIDAD_UNO[[#This Row],[Comienzo Desarrollo]]),"Sin Fecha","Con Fecha")</f>
        <v>Con Fecha</v>
      </c>
      <c r="Y127" s="129" t="str">
        <f>IF(PRIORIDAD_UNO[[#This Row],[Esfuerzo Estimado Desarrollo]]="No definido","Sin esfuerzo","Con esfuerzo")</f>
        <v>Con esfuerzo</v>
      </c>
      <c r="Z127" s="155"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27" s="239" t="str">
        <f>IF(PRIORIDAD_UNO[[#This Row],[Comienzo Producción]]="","Por Definir",_xlfn.CONCAT(YEAR(PRIORIDAD_UNO[[#This Row],[Comienzo Producción]])," - ", MONTH(PRIORIDAD_UNO[[#This Row],[Comienzo Producción]])))</f>
        <v>2026 - 12</v>
      </c>
      <c r="AB127" s="101" t="s">
        <v>116</v>
      </c>
    </row>
    <row r="128" spans="1:29" ht="33.75" customHeight="1">
      <c r="A128" s="229" t="s">
        <v>433</v>
      </c>
      <c r="B128" s="155">
        <v>1</v>
      </c>
      <c r="C128" s="162">
        <v>6</v>
      </c>
      <c r="D128" s="167" t="s">
        <v>46</v>
      </c>
      <c r="E128" s="162"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Grande</v>
      </c>
      <c r="F128" s="162" t="s">
        <v>31</v>
      </c>
      <c r="G128" s="162" t="s">
        <v>32</v>
      </c>
      <c r="H128" s="162" t="s">
        <v>33</v>
      </c>
      <c r="I128" s="185" t="s">
        <v>434</v>
      </c>
      <c r="J128" s="162" t="s">
        <v>35</v>
      </c>
      <c r="K128" s="162" t="s">
        <v>49</v>
      </c>
      <c r="L128" s="162" t="s">
        <v>37</v>
      </c>
      <c r="M128" s="162" t="s">
        <v>38</v>
      </c>
      <c r="N128" s="155" t="s">
        <v>50</v>
      </c>
      <c r="O128" s="155" t="s">
        <v>40</v>
      </c>
      <c r="P128" s="159" t="s">
        <v>435</v>
      </c>
      <c r="Q128" s="50">
        <v>46174</v>
      </c>
      <c r="R128" s="84">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46336</v>
      </c>
      <c r="S128" s="84">
        <f>IF(PRIORIDAD_UNO[[#This Row],[Fin Desarrollo]]="","",IF(ISBLANK(VLOOKUP(PRIORIDAD_UNO[[#This Row],[Nombre del requerimiento]],'Cálculos Manual'!A:H,8,FALSE)),WORKDAY(PRIORIDAD_UNO[[#This Row],[Fin Desarrollo]],5,FERIADOS[Fecha]), VLOOKUP(PRIORIDAD_UNO[[#This Row],[Nombre del requerimiento]],'Cálculos Manual'!A:H,8,FALSE)))</f>
        <v>46343</v>
      </c>
      <c r="T128" s="84">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46419</v>
      </c>
      <c r="U128" s="84">
        <f>IF(PRIORIDAD_UNO[[#This Row],[Fin Calidad]]="","",IF(ISBLANK(VLOOKUP(PRIORIDAD_UNO[[#This Row],[Nombre del requerimiento]],'Cálculos Manual'!A:L,12,FALSE)), WORKDAY(PRIORIDAD_UNO[[#This Row],[Fin Calidad]],5,FERIADOS[Fecha]), VLOOKUP(PRIORIDAD_UNO[[#This Row],[Nombre del requerimiento]],'Cálculos Manual'!A:L,12,FALSE)))</f>
        <v>46426</v>
      </c>
      <c r="V128" s="84">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46440</v>
      </c>
      <c r="W128" s="83">
        <f>IFERROR(PRIORIDAD_UNO[[#This Row],[Fin Producción]]-PRIORIDAD_UNO[[#This Row],[Comienzo Desarrollo]],"")</f>
        <v>266</v>
      </c>
      <c r="X128" s="129" t="str">
        <f>IF(ISBLANK(PRIORIDAD_UNO[[#This Row],[Comienzo Desarrollo]]),"Sin Fecha","Con Fecha")</f>
        <v>Con Fecha</v>
      </c>
      <c r="Y128" s="129" t="str">
        <f>IF(PRIORIDAD_UNO[[#This Row],[Esfuerzo Estimado Desarrollo]]="No definido","Sin esfuerzo","Con esfuerzo")</f>
        <v>Con esfuerzo</v>
      </c>
      <c r="Z128" s="155" t="str">
        <f ca="1">IF(ISBLANK(PRIORIDAD_UNO[[#This Row],[Comienzo Desarrollo]]),"🔵 Sin Fecha",
IF(PRIORIDAD_UNO[[#This Row],[Comienzo Desarrollo]]&lt;TODAY(),"🔴 Vencido",
IF(PRIORIDAD_UNO[[#This Row],[Comienzo Desarrollo]]=TODAY(),"🟡 Vence hoy",
IF((PRIORIDAD_UNO[[#This Row],[Comienzo Desarrollo]]-TODAY())&lt;=5,"🟠 Por vencer",
"🟢 A tiempo"))))</f>
        <v>🔴 Vencido</v>
      </c>
      <c r="AA128" s="239" t="str">
        <f>IF(PRIORIDAD_UNO[[#This Row],[Comienzo Producción]]="","Por Definir",_xlfn.CONCAT(YEAR(PRIORIDAD_UNO[[#This Row],[Comienzo Producción]])," - ", MONTH(PRIORIDAD_UNO[[#This Row],[Comienzo Producción]])))</f>
        <v>2027 - 2</v>
      </c>
      <c r="AB128" s="101" t="s">
        <v>116</v>
      </c>
    </row>
    <row r="129" spans="1:28" ht="33.75" customHeight="1">
      <c r="A129" s="198" t="s">
        <v>436</v>
      </c>
      <c r="B129" s="164">
        <v>1</v>
      </c>
      <c r="C129" s="164">
        <v>3</v>
      </c>
      <c r="D129" s="164" t="s">
        <v>29</v>
      </c>
      <c r="E129" s="75"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Mediano</v>
      </c>
      <c r="F129" s="164" t="s">
        <v>71</v>
      </c>
      <c r="G129" s="164" t="s">
        <v>437</v>
      </c>
      <c r="H129" s="143"/>
      <c r="I129" s="144" t="s">
        <v>438</v>
      </c>
      <c r="J129" s="75" t="s">
        <v>35</v>
      </c>
      <c r="K129" s="164" t="s">
        <v>63</v>
      </c>
      <c r="L129" s="164" t="s">
        <v>37</v>
      </c>
      <c r="M129" s="164" t="s">
        <v>151</v>
      </c>
      <c r="N129" s="164" t="s">
        <v>439</v>
      </c>
      <c r="O129" s="147" t="s">
        <v>167</v>
      </c>
      <c r="P129" s="165"/>
      <c r="Q129" s="49">
        <v>46327</v>
      </c>
      <c r="R129" s="86">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46423</v>
      </c>
      <c r="S129" s="86">
        <f>IF(PRIORIDAD_UNO[[#This Row],[Fin Desarrollo]]="","",IF(ISBLANK(VLOOKUP(PRIORIDAD_UNO[[#This Row],[Nombre del requerimiento]],'Cálculos Manual'!A:H,8,FALSE)),WORKDAY(PRIORIDAD_UNO[[#This Row],[Fin Desarrollo]],5,FERIADOS[Fecha]), VLOOKUP(PRIORIDAD_UNO[[#This Row],[Nombre del requerimiento]],'Cálculos Manual'!A:H,8,FALSE)))</f>
        <v>46430</v>
      </c>
      <c r="T129" s="86">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46490</v>
      </c>
      <c r="U129" s="86">
        <f>IF(PRIORIDAD_UNO[[#This Row],[Fin Calidad]]="","",IF(ISBLANK(VLOOKUP(PRIORIDAD_UNO[[#This Row],[Nombre del requerimiento]],'Cálculos Manual'!A:L,12,FALSE)), WORKDAY(PRIORIDAD_UNO[[#This Row],[Fin Calidad]],5,FERIADOS[Fecha]), VLOOKUP(PRIORIDAD_UNO[[#This Row],[Nombre del requerimiento]],'Cálculos Manual'!A:L,12,FALSE)))</f>
        <v>46497</v>
      </c>
      <c r="V129" s="86">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46504</v>
      </c>
      <c r="W129" s="85">
        <f>IFERROR(PRIORIDAD_UNO[[#This Row],[Fin Producción]]-PRIORIDAD_UNO[[#This Row],[Comienzo Desarrollo]],"")</f>
        <v>177</v>
      </c>
      <c r="X129" s="186" t="str">
        <f>IF(ISBLANK(PRIORIDAD_UNO[[#This Row],[Comienzo Desarrollo]]),"Sin Fecha","Con Fecha")</f>
        <v>Con Fecha</v>
      </c>
      <c r="Y129" s="170" t="str">
        <f>IF(PRIORIDAD_UNO[[#This Row],[Esfuerzo Estimado Desarrollo]]="No definido","Sin esfuerzo","Con esfuerzo")</f>
        <v>Con esfuerzo</v>
      </c>
      <c r="Z129" s="158" t="str">
        <f ca="1">IF(ISBLANK(PRIORIDAD_UNO[[#This Row],[Comienzo Desarrollo]]),"🔵 Sin Fecha",
IF(PRIORIDAD_UNO[[#This Row],[Comienzo Desarrollo]]&lt;TODAY(),"🔴 Vencido",
IF(PRIORIDAD_UNO[[#This Row],[Comienzo Desarrollo]]=TODAY(),"🟡 Vence hoy",
IF((PRIORIDAD_UNO[[#This Row],[Comienzo Desarrollo]]-TODAY())&lt;=5,"🟠 Por vencer",
"🟢 A tiempo"))))</f>
        <v>🟢 A tiempo</v>
      </c>
      <c r="AA129" s="239" t="str">
        <f>IF(PRIORIDAD_UNO[[#This Row],[Comienzo Producción]]="","Por Definir",_xlfn.CONCAT(YEAR(PRIORIDAD_UNO[[#This Row],[Comienzo Producción]])," - ", MONTH(PRIORIDAD_UNO[[#This Row],[Comienzo Producción]])))</f>
        <v>2027 - 4</v>
      </c>
      <c r="AB129" s="101" t="s">
        <v>116</v>
      </c>
    </row>
    <row r="130" spans="1:28" ht="33.75" customHeight="1">
      <c r="A130" s="223" t="s">
        <v>440</v>
      </c>
      <c r="B130" s="164">
        <v>1</v>
      </c>
      <c r="C130" s="164">
        <v>36</v>
      </c>
      <c r="D130" s="164" t="s">
        <v>75</v>
      </c>
      <c r="E130" s="75"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130" s="164" t="s">
        <v>66</v>
      </c>
      <c r="G130" s="164" t="s">
        <v>172</v>
      </c>
      <c r="H130" s="164" t="s">
        <v>173</v>
      </c>
      <c r="I130" s="165" t="s">
        <v>441</v>
      </c>
      <c r="J130" s="75" t="s">
        <v>35</v>
      </c>
      <c r="K130" s="164" t="s">
        <v>54</v>
      </c>
      <c r="L130" s="164" t="s">
        <v>81</v>
      </c>
      <c r="M130" s="164" t="s">
        <v>38</v>
      </c>
      <c r="N130" s="164" t="s">
        <v>223</v>
      </c>
      <c r="O130" s="158" t="s">
        <v>123</v>
      </c>
      <c r="P130" s="198" t="s">
        <v>442</v>
      </c>
      <c r="Q130" s="49"/>
      <c r="R130" s="86"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130" s="86" t="str">
        <f>IF(PRIORIDAD_UNO[[#This Row],[Fin Desarrollo]]="","",IF(ISBLANK(VLOOKUP(PRIORIDAD_UNO[[#This Row],[Nombre del requerimiento]],'Cálculos Manual'!A:H,8,FALSE)),WORKDAY(PRIORIDAD_UNO[[#This Row],[Fin Desarrollo]],5,FERIADOS[Fecha]), VLOOKUP(PRIORIDAD_UNO[[#This Row],[Nombre del requerimiento]],'Cálculos Manual'!A:H,8,FALSE)))</f>
        <v/>
      </c>
      <c r="T130" s="86"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130" s="86" t="str">
        <f>IF(PRIORIDAD_UNO[[#This Row],[Fin Calidad]]="","",IF(ISBLANK(VLOOKUP(PRIORIDAD_UNO[[#This Row],[Nombre del requerimiento]],'Cálculos Manual'!A:L,12,FALSE)), WORKDAY(PRIORIDAD_UNO[[#This Row],[Fin Calidad]],5,FERIADOS[Fecha]), VLOOKUP(PRIORIDAD_UNO[[#This Row],[Nombre del requerimiento]],'Cálculos Manual'!A:L,12,FALSE)))</f>
        <v/>
      </c>
      <c r="V130" s="86"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130" s="85" t="str">
        <f>IFERROR(PRIORIDAD_UNO[[#This Row],[Fin Producción]]-PRIORIDAD_UNO[[#This Row],[Comienzo Desarrollo]],"")</f>
        <v/>
      </c>
      <c r="X130" s="186" t="str">
        <f>IF(ISBLANK(PRIORIDAD_UNO[[#This Row],[Comienzo Desarrollo]]),"Sin Fecha","Con Fecha")</f>
        <v>Sin Fecha</v>
      </c>
      <c r="Y130" s="170" t="str">
        <f>IF(PRIORIDAD_UNO[[#This Row],[Esfuerzo Estimado Desarrollo]]="No definido","Sin esfuerzo","Con esfuerzo")</f>
        <v>Sin esfuerzo</v>
      </c>
      <c r="Z130" s="158"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130" s="239" t="str">
        <f>IF(PRIORIDAD_UNO[[#This Row],[Comienzo Producción]]="","Por Definir",_xlfn.CONCAT(YEAR(PRIORIDAD_UNO[[#This Row],[Comienzo Producción]])," - ", MONTH(PRIORIDAD_UNO[[#This Row],[Comienzo Producción]])))</f>
        <v>Por Definir</v>
      </c>
      <c r="AB130" s="101">
        <v>3243</v>
      </c>
    </row>
    <row r="131" spans="1:28" ht="15" customHeight="1">
      <c r="A131" s="241" t="s">
        <v>443</v>
      </c>
      <c r="B131" s="242">
        <v>1</v>
      </c>
      <c r="C131" s="242"/>
      <c r="D131" s="242"/>
      <c r="E131" s="242"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131" s="243" t="s">
        <v>70</v>
      </c>
      <c r="G131" s="243" t="s">
        <v>444</v>
      </c>
      <c r="H131" s="243" t="s">
        <v>445</v>
      </c>
      <c r="I131" s="165" t="s">
        <v>446</v>
      </c>
      <c r="J131" s="243" t="s">
        <v>35</v>
      </c>
      <c r="K131" s="243" t="s">
        <v>36</v>
      </c>
      <c r="L131" s="242" t="s">
        <v>80</v>
      </c>
      <c r="M131" s="242"/>
      <c r="N131" s="242"/>
      <c r="O131" s="147" t="s">
        <v>167</v>
      </c>
      <c r="P131" s="244"/>
      <c r="Q131" s="245"/>
      <c r="R131" s="246"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131" s="246" t="str">
        <f>IF(PRIORIDAD_UNO[[#This Row],[Fin Desarrollo]]="","",IF(ISBLANK(VLOOKUP(PRIORIDAD_UNO[[#This Row],[Nombre del requerimiento]],'Cálculos Manual'!A:H,8,FALSE)),WORKDAY(PRIORIDAD_UNO[[#This Row],[Fin Desarrollo]],5,FERIADOS[Fecha]), VLOOKUP(PRIORIDAD_UNO[[#This Row],[Nombre del requerimiento]],'Cálculos Manual'!A:H,8,FALSE)))</f>
        <v/>
      </c>
      <c r="T131" s="246"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131" s="246" t="str">
        <f>IF(PRIORIDAD_UNO[[#This Row],[Fin Calidad]]="","",IF(ISBLANK(VLOOKUP(PRIORIDAD_UNO[[#This Row],[Nombre del requerimiento]],'Cálculos Manual'!A:L,12,FALSE)), WORKDAY(PRIORIDAD_UNO[[#This Row],[Fin Calidad]],5,FERIADOS[Fecha]), VLOOKUP(PRIORIDAD_UNO[[#This Row],[Nombre del requerimiento]],'Cálculos Manual'!A:L,12,FALSE)))</f>
        <v/>
      </c>
      <c r="V131" s="246"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131" s="247" t="str">
        <f>IFERROR(PRIORIDAD_UNO[[#This Row],[Fin Producción]]-PRIORIDAD_UNO[[#This Row],[Comienzo Desarrollo]],"")</f>
        <v/>
      </c>
      <c r="X131" s="245" t="str">
        <f>IF(ISBLANK(PRIORIDAD_UNO[[#This Row],[Comienzo Desarrollo]]),"Sin Fecha","Con Fecha")</f>
        <v>Sin Fecha</v>
      </c>
      <c r="Y131" s="248" t="str">
        <f>IF(PRIORIDAD_UNO[[#This Row],[Esfuerzo Estimado Desarrollo]]="No definido","Sin esfuerzo","Con esfuerzo")</f>
        <v>Con esfuerzo</v>
      </c>
      <c r="Z131" s="239"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131" s="239" t="str">
        <f>IF(PRIORIDAD_UNO[[#This Row],[Comienzo Producción]]="","Por Definir",_xlfn.CONCAT(YEAR(PRIORIDAD_UNO[[#This Row],[Comienzo Producción]])," - ", MONTH(PRIORIDAD_UNO[[#This Row],[Comienzo Producción]])))</f>
        <v>Por Definir</v>
      </c>
      <c r="AB131" s="101" t="s">
        <v>116</v>
      </c>
    </row>
    <row r="132" spans="1:28" ht="15" customHeight="1">
      <c r="A132" s="249" t="s">
        <v>447</v>
      </c>
      <c r="B132" s="243">
        <v>1</v>
      </c>
      <c r="C132" s="243"/>
      <c r="D132" s="243"/>
      <c r="E132" s="243" t="str">
        <f>IF(OR(ISBLANK(PRIORIDAD_UNO[[#This Row],[Esfuerzo Estimado Desarrollo]]),PRIORIDAD_UNO[[#This Row],[Esfuerzo Estimado Desarrollo]]="No definido"),"No definido",
IF(VALUE(TRIM(LEFT(PRIORIDAD_UNO[[#This Row],[Esfuerzo Estimado Desarrollo]],2)))&lt;=1,"Pequeño",
IF(VALUE(TRIM(LEFT(PRIORIDAD_UNO[[#This Row],[Esfuerzo Estimado Desarrollo]],2)))&lt;=3,"Mediano",
IF(VALUE(TRIM(LEFT(PRIORIDAD_UNO[[#This Row],[Esfuerzo Estimado Desarrollo]],2)))&lt;=5,"Grande",
IF(VALUE(TRIM(LEFT(PRIORIDAD_UNO[[#This Row],[Esfuerzo Estimado Desarrollo]],2)))&lt;=7,"Extra Grande","Proyecto")))))</f>
        <v>No definido</v>
      </c>
      <c r="F132" s="243" t="s">
        <v>70</v>
      </c>
      <c r="G132" s="243" t="s">
        <v>444</v>
      </c>
      <c r="H132" s="243" t="s">
        <v>445</v>
      </c>
      <c r="I132" s="165" t="s">
        <v>448</v>
      </c>
      <c r="J132" s="243" t="s">
        <v>35</v>
      </c>
      <c r="K132" s="243" t="s">
        <v>36</v>
      </c>
      <c r="L132" s="243" t="s">
        <v>80</v>
      </c>
      <c r="M132" s="243"/>
      <c r="N132" s="243"/>
      <c r="O132" s="147" t="s">
        <v>167</v>
      </c>
      <c r="P132" s="250"/>
      <c r="Q132" s="251"/>
      <c r="R132" s="252" t="str">
        <f>IF(OR(PRIORIDAD_UNO[[#This Row],[Tamaño]]="No definido",ISBLANK(PRIORIDAD_UNO[[#This Row],[Comienzo Desarrollo]])),"",IF(ISBLANK(
VLOOKUP(PRIORIDAD_UNO[[#This Row],[Nombre del requerimiento]],'Cálculos Manual'!A:F,6,FALSE)), WORKDAY(PRIORIDAD_UNO[[#This Row],[Comienzo Desarrollo]],
IF(PRIORIDAD_UNO[[#This Row],[Tamaño]]="Pequeño",30,IF(PRIORIDAD_UNO[[#This Row],[Tamaño]]="Mediano",66,IF(PRIORIDAD_UNO[[#This Row],[Tamaño]]="Grande",110,IF(PRIORIDAD_UNO[[#This Row],[Tamaño]]="Extra Grande",154,176)))),
FERIADOS[Fecha]), VLOOKUP(PRIORIDAD_UNO[[#This Row],[Nombre del requerimiento]],'Cálculos Manual'!A:F,6,FALSE)))</f>
        <v/>
      </c>
      <c r="S132" s="252" t="str">
        <f>IF(PRIORIDAD_UNO[[#This Row],[Fin Desarrollo]]="","",IF(ISBLANK(VLOOKUP(PRIORIDAD_UNO[[#This Row],[Nombre del requerimiento]],'Cálculos Manual'!A:H,8,FALSE)),WORKDAY(PRIORIDAD_UNO[[#This Row],[Fin Desarrollo]],5,FERIADOS[Fecha]), VLOOKUP(PRIORIDAD_UNO[[#This Row],[Nombre del requerimiento]],'Cálculos Manual'!A:H,8,FALSE)))</f>
        <v/>
      </c>
      <c r="T132" s="252" t="str">
        <f>IF(PRIORIDAD_UNO[[#This Row],[Comienzo Calidad]]="","",IF(ISBLANK(VLOOKUP(PRIORIDAD_UNO[[#This Row],[Nombre del requerimiento]],'Cálculos Manual'!A:J,10,FALSE)), WORKDAY(PRIORIDAD_UNO[[#This Row],[Comienzo Calidad]],IF(PRIORIDAD_UNO[[#This Row],[Tamaño]]="Pequeño",30,IF(PRIORIDAD_UNO[[#This Row],[Tamaño]]="Mediano",40,50)),FERIADOS[Fecha]), VLOOKUP(PRIORIDAD_UNO[[#This Row],[Nombre del requerimiento]],'Cálculos Manual'!A:J,10,FALSE)))</f>
        <v/>
      </c>
      <c r="U132" s="252" t="str">
        <f>IF(PRIORIDAD_UNO[[#This Row],[Fin Calidad]]="","",IF(ISBLANK(VLOOKUP(PRIORIDAD_UNO[[#This Row],[Nombre del requerimiento]],'Cálculos Manual'!A:L,12,FALSE)), WORKDAY(PRIORIDAD_UNO[[#This Row],[Fin Calidad]],5,FERIADOS[Fecha]), VLOOKUP(PRIORIDAD_UNO[[#This Row],[Nombre del requerimiento]],'Cálculos Manual'!A:L,12,FALSE)))</f>
        <v/>
      </c>
      <c r="V132" s="252" t="str">
        <f>IF(PRIORIDAD_UNO[[#This Row],[Comienzo Producción]]="","",IF(ISBLANK(VLOOKUP(PRIORIDAD_UNO[[#This Row],[Nombre del requerimiento]],'Cálculos Manual'!A:N,14,FALSE)), WORKDAY(PRIORIDAD_UNO[[#This Row],[Comienzo Producción]],IF(PRIORIDAD_UNO[[#This Row],[Tamaño]]="Grande",10,5),FERIADOS[Fecha]), VLOOKUP(PRIORIDAD_UNO[[#This Row],[Nombre del requerimiento]],'Cálculos Manual'!A:N,14,FALSE)))</f>
        <v/>
      </c>
      <c r="W132" s="253" t="str">
        <f>IFERROR(PRIORIDAD_UNO[[#This Row],[Fin Producción]]-PRIORIDAD_UNO[[#This Row],[Comienzo Desarrollo]],"")</f>
        <v/>
      </c>
      <c r="X132" s="251" t="str">
        <f>IF(ISBLANK(PRIORIDAD_UNO[[#This Row],[Comienzo Desarrollo]]),"Sin Fecha","Con Fecha")</f>
        <v>Sin Fecha</v>
      </c>
      <c r="Y132" s="254" t="str">
        <f>IF(PRIORIDAD_UNO[[#This Row],[Esfuerzo Estimado Desarrollo]]="No definido","Sin esfuerzo","Con esfuerzo")</f>
        <v>Con esfuerzo</v>
      </c>
      <c r="Z132" s="239" t="str">
        <f ca="1">IF(ISBLANK(PRIORIDAD_UNO[[#This Row],[Comienzo Desarrollo]]),"🔵 Sin Fecha",
IF(PRIORIDAD_UNO[[#This Row],[Comienzo Desarrollo]]&lt;TODAY(),"🔴 Vencido",
IF(PRIORIDAD_UNO[[#This Row],[Comienzo Desarrollo]]=TODAY(),"🟡 Vence hoy",
IF((PRIORIDAD_UNO[[#This Row],[Comienzo Desarrollo]]-TODAY())&lt;=5,"🟠 Por vencer",
"🟢 A tiempo"))))</f>
        <v>🔵 Sin Fecha</v>
      </c>
      <c r="AA132" s="239" t="str">
        <f>IF(PRIORIDAD_UNO[[#This Row],[Comienzo Producción]]="","Por Definir",_xlfn.CONCAT(YEAR(PRIORIDAD_UNO[[#This Row],[Comienzo Producción]])," - ", MONTH(PRIORIDAD_UNO[[#This Row],[Comienzo Producción]])))</f>
        <v>Por Definir</v>
      </c>
      <c r="AB132" s="101" t="s">
        <v>116</v>
      </c>
    </row>
  </sheetData>
  <sheetProtection formatCells="0" formatColumns="0" formatRows="0" insertRows="0" insertHyperlinks="0" deleteRows="0" sort="0" autoFilter="0"/>
  <mergeCells count="2">
    <mergeCell ref="S2:V2"/>
    <mergeCell ref="T1:U1"/>
  </mergeCells>
  <phoneticPr fontId="11" type="noConversion"/>
  <conditionalFormatting sqref="Q5:Q30 Q32:Q126">
    <cfRule type="expression" dxfId="79" priority="2">
      <formula>AND(ISNUMBER(Q5),$E5="Proyecto")</formula>
    </cfRule>
    <cfRule type="expression" dxfId="78" priority="3">
      <formula>AND(ISNUMBER(Q5),$E5="No definido")</formula>
    </cfRule>
  </conditionalFormatting>
  <conditionalFormatting sqref="AB126">
    <cfRule type="duplicateValues" dxfId="77" priority="1"/>
  </conditionalFormatting>
  <dataValidations count="8">
    <dataValidation allowBlank="1" showInputMessage="1" showErrorMessage="1" sqref="R4:S4 D1:D1048576" xr:uid="{00000000-0002-0000-0100-000001000000}"/>
    <dataValidation type="custom" allowBlank="1" showInputMessage="1" showErrorMessage="1" sqref="Q4" xr:uid="{00000000-0002-0000-0100-000000000000}">
      <formula1>#REF!&gt;=FechaRegistroReal</formula1>
    </dataValidation>
    <dataValidation allowBlank="1" showInputMessage="1" showErrorMessage="1" error="No puedes editar estas celdas, si quieres ingresar valores manualmente dirígete a la hoja &quot;Cálculos Manual&quot;" sqref="R5:V126 W5:W132" xr:uid="{836FF1F6-8AC6-4088-B673-423F4D6BE18A}"/>
    <dataValidation type="list" allowBlank="1" showInputMessage="1" showErrorMessage="1" sqref="M5:M126" xr:uid="{4C02CD16-DD27-4F0D-BAAB-BD145C3971F0}">
      <formula1>"Sistemas Bancarios, Sistemas Administrativos, Soluciones Digitales"</formula1>
    </dataValidation>
    <dataValidation type="list" allowBlank="1" showInputMessage="1" showErrorMessage="1" sqref="K5:K126" xr:uid="{3A220F8C-EAC6-45CF-A6CE-229854143CD6}">
      <formula1>"Evolutivo, Correctivo, Normativo, Recomendación, Mandatorio, "</formula1>
    </dataValidation>
    <dataValidation type="list" allowBlank="1" showInputMessage="1" showErrorMessage="1" sqref="L5:L132" xr:uid="{1C92787F-9F6A-4924-8145-B8CADCAC021D}">
      <formula1>"Observado, Pendiente de Atención, Por evaluar, En proceso, Atendido, 02. Registrado en el backlog, Descartado"</formula1>
    </dataValidation>
    <dataValidation type="list" allowBlank="1" showInputMessage="1" showErrorMessage="1" sqref="J5:J132" xr:uid="{C013D9C4-711C-4DAA-8F63-042E24F694A5}">
      <formula1>"Sí, No"</formula1>
    </dataValidation>
    <dataValidation type="custom" allowBlank="1" showInputMessage="1" showErrorMessage="1" sqref="E5:E132" xr:uid="{CB67ADC7-BAFB-4DCC-9D4C-A1B482E37B66}">
      <formula1>FALSE</formula1>
    </dataValidation>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A1:N238"/>
  <sheetViews>
    <sheetView topLeftCell="A144" workbookViewId="0">
      <selection activeCell="A154" sqref="A154"/>
    </sheetView>
  </sheetViews>
  <sheetFormatPr baseColWidth="10" defaultColWidth="10.88671875" defaultRowHeight="14.4"/>
  <cols>
    <col min="1" max="1" width="33.6640625" style="11" customWidth="1"/>
    <col min="2" max="2" width="21.6640625" style="1" customWidth="1"/>
    <col min="3" max="3" width="25.109375" style="52" hidden="1" customWidth="1"/>
    <col min="4" max="4" width="18" style="71" customWidth="1"/>
    <col min="5" max="5" width="10.88671875" style="52" customWidth="1"/>
    <col min="6" max="6" width="14.6640625" style="52" customWidth="1"/>
    <col min="7" max="7" width="14.6640625" style="52" hidden="1" customWidth="1"/>
    <col min="8" max="8" width="14.6640625" style="52" customWidth="1"/>
    <col min="9" max="9" width="14.6640625" style="52" hidden="1" customWidth="1"/>
    <col min="10" max="10" width="14.6640625" style="52" customWidth="1"/>
    <col min="11" max="11" width="14.6640625" style="52" hidden="1" customWidth="1"/>
    <col min="12" max="12" width="14.6640625" style="52" customWidth="1"/>
    <col min="13" max="13" width="14.6640625" style="52" hidden="1" customWidth="1"/>
    <col min="14" max="14" width="14.6640625" style="52" customWidth="1"/>
    <col min="15" max="16384" width="10.88671875" style="9"/>
  </cols>
  <sheetData>
    <row r="1" spans="1:14" ht="43.2">
      <c r="A1" s="58" t="s">
        <v>1</v>
      </c>
      <c r="B1" s="59" t="s">
        <v>449</v>
      </c>
      <c r="C1" s="8" t="s">
        <v>450</v>
      </c>
      <c r="D1" s="60" t="s">
        <v>6</v>
      </c>
      <c r="E1" s="60" t="s">
        <v>17</v>
      </c>
      <c r="F1" s="61" t="s">
        <v>451</v>
      </c>
      <c r="G1" s="5" t="s">
        <v>18</v>
      </c>
      <c r="H1" s="61" t="s">
        <v>452</v>
      </c>
      <c r="I1" s="5" t="s">
        <v>19</v>
      </c>
      <c r="J1" s="61" t="s">
        <v>453</v>
      </c>
      <c r="K1" s="5" t="s">
        <v>20</v>
      </c>
      <c r="L1" s="61" t="s">
        <v>454</v>
      </c>
      <c r="M1" s="5" t="s">
        <v>21</v>
      </c>
      <c r="N1" s="61" t="s">
        <v>455</v>
      </c>
    </row>
    <row r="2" spans="1:14" ht="28.8">
      <c r="A2" s="62" t="s">
        <v>440</v>
      </c>
      <c r="B2" s="64" t="str">
        <f>IFERROR(
VLOOKUP(A2,PRIORIDAD_UNO[[Nombre del requerimiento]:[Tamaño]],5,FALSE),"")</f>
        <v>No definido</v>
      </c>
      <c r="C2" s="65"/>
      <c r="D2" s="66" t="str">
        <f>IF(ISBLANK(A2),"",
IFERROR(IF(VLOOKUP($A2,PRIORIDAD_UNO[[Nombre del requerimiento]:[Fin Producción]],6,FALSE)=0,"",VLOOKUP($A2,PRIORIDAD_UNO[[Nombre del requerimiento]:[Fin Producción]],6,FALSE)),"No está en hoja Prioridad 1"))</f>
        <v>Operaciones</v>
      </c>
      <c r="E2" s="65" t="str">
        <f>IFERROR(IF(VLOOKUP($A2,PRIORIDAD_UNO[[Nombre del requerimiento]:[Fin Producción]],17,FALSE)=0,"",VLOOKUP($A2,PRIORIDAD_UNO[[Nombre del requerimiento]:[Fin Producción]],17,FALSE)),"")</f>
        <v/>
      </c>
      <c r="F2" s="65"/>
      <c r="G2" s="65" t="str">
        <f>IFERROR(VLOOKUP($A2,PRIORIDAD_UNO[[Nombre del requerimiento]:[Fin Producción]],18,FALSE),"")</f>
        <v/>
      </c>
      <c r="H2" s="65"/>
      <c r="I2" s="65" t="str">
        <f>IFERROR(VLOOKUP($A2,PRIORIDAD_UNO[[Nombre del requerimiento]:[Fin Producción]],19,FALSE),"")</f>
        <v/>
      </c>
      <c r="J2" s="65"/>
      <c r="K2" s="65" t="str">
        <f>IFERROR(VLOOKUP($A2,PRIORIDAD_UNO[[Nombre del requerimiento]:[Fin Producción]],20,FALSE),"")</f>
        <v/>
      </c>
      <c r="L2" s="65"/>
      <c r="M2" s="65" t="str">
        <f>IFERROR(VLOOKUP($A2,PRIORIDAD_UNO[[Nombre del requerimiento]:[Fin Producción]],21,FALSE),"")</f>
        <v/>
      </c>
      <c r="N2" s="65"/>
    </row>
    <row r="3" spans="1:14" ht="43.2">
      <c r="A3" s="62" t="s">
        <v>456</v>
      </c>
      <c r="B3" s="64" t="str">
        <f>IFERROR(
VLOOKUP(A3,PRIORIDAD_UNO[[Nombre del requerimiento]:[Tamaño]],5,FALSE),"")</f>
        <v/>
      </c>
      <c r="C3" s="65"/>
      <c r="D3" s="66" t="str">
        <f>IF(ISBLANK(A3),"",
IFERROR(IF(VLOOKUP($A3,PRIORIDAD_UNO[[Nombre del requerimiento]:[Fin Producción]],6,FALSE)=0,"",VLOOKUP($A3,PRIORIDAD_UNO[[Nombre del requerimiento]:[Fin Producción]],6,FALSE)),"No está en hoja Prioridad 1"))</f>
        <v>No está en hoja Prioridad 1</v>
      </c>
      <c r="E3" s="65" t="str">
        <f>IFERROR(IF(VLOOKUP($A3,PRIORIDAD_UNO[[Nombre del requerimiento]:[Fin Producción]],17,FALSE)=0,"",VLOOKUP($A3,PRIORIDAD_UNO[[Nombre del requerimiento]:[Fin Producción]],17,FALSE)),"")</f>
        <v/>
      </c>
      <c r="F3" s="65"/>
      <c r="G3" s="65" t="str">
        <f>IFERROR(VLOOKUP($A3,PRIORIDAD_UNO[[Nombre del requerimiento]:[Fin Producción]],18,FALSE),"")</f>
        <v/>
      </c>
      <c r="H3" s="65"/>
      <c r="I3" s="65" t="str">
        <f>IFERROR(VLOOKUP($A3,PRIORIDAD_UNO[[Nombre del requerimiento]:[Fin Producción]],19,FALSE),"")</f>
        <v/>
      </c>
      <c r="J3" s="65"/>
      <c r="K3" s="65" t="str">
        <f>IFERROR(VLOOKUP($A3,PRIORIDAD_UNO[[Nombre del requerimiento]:[Fin Producción]],20,FALSE),"")</f>
        <v/>
      </c>
      <c r="L3" s="65"/>
      <c r="M3" s="65" t="str">
        <f>IFERROR(VLOOKUP($A3,PRIORIDAD_UNO[[Nombre del requerimiento]:[Fin Producción]],21,FALSE),"")</f>
        <v/>
      </c>
      <c r="N3" s="65"/>
    </row>
    <row r="4" spans="1:14">
      <c r="A4" s="62" t="s">
        <v>433</v>
      </c>
      <c r="B4" s="64" t="str">
        <f>IFERROR(
VLOOKUP(A4,PRIORIDAD_UNO[[Nombre del requerimiento]:[Tamaño]],5,FALSE),"")</f>
        <v>Grande</v>
      </c>
      <c r="C4" s="65"/>
      <c r="D4" s="66" t="str">
        <f>IF(ISBLANK(A4),"",
IFERROR(IF(VLOOKUP($A4,PRIORIDAD_UNO[[Nombre del requerimiento]:[Fin Producción]],6,FALSE)=0,"",VLOOKUP($A4,PRIORIDAD_UNO[[Nombre del requerimiento]:[Fin Producción]],6,FALSE)),"No está en hoja Prioridad 1"))</f>
        <v>Banca Digital</v>
      </c>
      <c r="E4" s="65">
        <f>IFERROR(IF(VLOOKUP($A4,PRIORIDAD_UNO[[Nombre del requerimiento]:[Fin Producción]],17,FALSE)=0,"",VLOOKUP($A4,PRIORIDAD_UNO[[Nombre del requerimiento]:[Fin Producción]],17,FALSE)),"")</f>
        <v>46174</v>
      </c>
      <c r="F4" s="65"/>
      <c r="G4" s="65">
        <f>IFERROR(VLOOKUP($A4,PRIORIDAD_UNO[[Nombre del requerimiento]:[Fin Producción]],18,FALSE),"")</f>
        <v>46336</v>
      </c>
      <c r="H4" s="65"/>
      <c r="I4" s="65">
        <f>IFERROR(VLOOKUP($A4,PRIORIDAD_UNO[[Nombre del requerimiento]:[Fin Producción]],19,FALSE),"")</f>
        <v>46343</v>
      </c>
      <c r="J4" s="65"/>
      <c r="K4" s="65">
        <f>IFERROR(VLOOKUP($A4,PRIORIDAD_UNO[[Nombre del requerimiento]:[Fin Producción]],20,FALSE),"")</f>
        <v>46419</v>
      </c>
      <c r="L4" s="65"/>
      <c r="M4" s="65">
        <f>IFERROR(VLOOKUP($A4,PRIORIDAD_UNO[[Nombre del requerimiento]:[Fin Producción]],21,FALSE),"")</f>
        <v>46426</v>
      </c>
      <c r="N4" s="65"/>
    </row>
    <row r="5" spans="1:14">
      <c r="A5" s="62" t="s">
        <v>432</v>
      </c>
      <c r="B5" s="64" t="str">
        <f>IFERROR(
VLOOKUP(A5,PRIORIDAD_UNO[[Nombre del requerimiento]:[Tamaño]],5,FALSE),"")</f>
        <v>Mediano</v>
      </c>
      <c r="C5" s="65"/>
      <c r="D5" s="66" t="str">
        <f>IF(ISBLANK(A5),"",
IFERROR(IF(VLOOKUP($A5,PRIORIDAD_UNO[[Nombre del requerimiento]:[Fin Producción]],6,FALSE)=0,"",VLOOKUP($A5,PRIORIDAD_UNO[[Nombre del requerimiento]:[Fin Producción]],6,FALSE)),"No está en hoja Prioridad 1"))</f>
        <v>Banca Digital</v>
      </c>
      <c r="E5" s="65">
        <f>IFERROR(IF(VLOOKUP($A5,PRIORIDAD_UNO[[Nombre del requerimiento]:[Fin Producción]],17,FALSE)=0,"",VLOOKUP($A5,PRIORIDAD_UNO[[Nombre del requerimiento]:[Fin Producción]],17,FALSE)),"")</f>
        <v>46204</v>
      </c>
      <c r="F5" s="65"/>
      <c r="G5" s="65">
        <f>IFERROR(VLOOKUP($A5,PRIORIDAD_UNO[[Nombre del requerimiento]:[Fin Producción]],18,FALSE),"")</f>
        <v>46302</v>
      </c>
      <c r="H5" s="65"/>
      <c r="I5" s="65">
        <f>IFERROR(VLOOKUP($A5,PRIORIDAD_UNO[[Nombre del requerimiento]:[Fin Producción]],19,FALSE),"")</f>
        <v>46310</v>
      </c>
      <c r="J5" s="65"/>
      <c r="K5" s="65">
        <f>IFERROR(VLOOKUP($A5,PRIORIDAD_UNO[[Nombre del requerimiento]:[Fin Producción]],20,FALSE),"")</f>
        <v>46370</v>
      </c>
      <c r="L5" s="65"/>
      <c r="M5" s="65">
        <f>IFERROR(VLOOKUP($A5,PRIORIDAD_UNO[[Nombre del requerimiento]:[Fin Producción]],21,FALSE),"")</f>
        <v>46377</v>
      </c>
      <c r="N5" s="65"/>
    </row>
    <row r="6" spans="1:14" ht="57.6">
      <c r="A6" s="62" t="s">
        <v>429</v>
      </c>
      <c r="B6" s="64" t="str">
        <f>IFERROR(
VLOOKUP(A6,PRIORIDAD_UNO[[Nombre del requerimiento]:[Tamaño]],5,FALSE),"")</f>
        <v>No definido</v>
      </c>
      <c r="C6" s="65"/>
      <c r="D6" s="66" t="str">
        <f>IF(ISBLANK(A6),"",
IFERROR(IF(VLOOKUP($A6,PRIORIDAD_UNO[[Nombre del requerimiento]:[Fin Producción]],6,FALSE)=0,"",VLOOKUP($A6,PRIORIDAD_UNO[[Nombre del requerimiento]:[Fin Producción]],6,FALSE)),"No está en hoja Prioridad 1"))</f>
        <v>Banca Digital</v>
      </c>
      <c r="E6" s="65" t="str">
        <f>IFERROR(IF(VLOOKUP($A6,PRIORIDAD_UNO[[Nombre del requerimiento]:[Fin Producción]],17,FALSE)=0,"",VLOOKUP($A6,PRIORIDAD_UNO[[Nombre del requerimiento]:[Fin Producción]],17,FALSE)),"")</f>
        <v/>
      </c>
      <c r="F6" s="65"/>
      <c r="G6" s="65" t="str">
        <f>IFERROR(VLOOKUP($A6,PRIORIDAD_UNO[[Nombre del requerimiento]:[Fin Producción]],18,FALSE),"")</f>
        <v/>
      </c>
      <c r="H6" s="65"/>
      <c r="I6" s="65" t="str">
        <f>IFERROR(VLOOKUP($A6,PRIORIDAD_UNO[[Nombre del requerimiento]:[Fin Producción]],19,FALSE),"")</f>
        <v/>
      </c>
      <c r="J6" s="65"/>
      <c r="K6" s="65" t="str">
        <f>IFERROR(VLOOKUP($A6,PRIORIDAD_UNO[[Nombre del requerimiento]:[Fin Producción]],20,FALSE),"")</f>
        <v/>
      </c>
      <c r="L6" s="65"/>
      <c r="M6" s="65" t="str">
        <f>IFERROR(VLOOKUP($A6,PRIORIDAD_UNO[[Nombre del requerimiento]:[Fin Producción]],21,FALSE),"")</f>
        <v/>
      </c>
      <c r="N6" s="65"/>
    </row>
    <row r="7" spans="1:14" ht="28.8">
      <c r="A7" s="62" t="s">
        <v>427</v>
      </c>
      <c r="B7" s="64" t="str">
        <f>IFERROR(
VLOOKUP(A7,PRIORIDAD_UNO[[Nombre del requerimiento]:[Tamaño]],5,FALSE),"")</f>
        <v>Mediano</v>
      </c>
      <c r="C7" s="65"/>
      <c r="D7" s="66" t="str">
        <f>IF(ISBLANK(A7),"",
IFERROR(IF(VLOOKUP($A7,PRIORIDAD_UNO[[Nombre del requerimiento]:[Fin Producción]],6,FALSE)=0,"",VLOOKUP($A7,PRIORIDAD_UNO[[Nombre del requerimiento]:[Fin Producción]],6,FALSE)),"No está en hoja Prioridad 1"))</f>
        <v>OPLAFT</v>
      </c>
      <c r="E7" s="65">
        <f>IFERROR(IF(VLOOKUP($A7,PRIORIDAD_UNO[[Nombre del requerimiento]:[Fin Producción]],17,FALSE)=0,"",VLOOKUP($A7,PRIORIDAD_UNO[[Nombre del requerimiento]:[Fin Producción]],17,FALSE)),"")</f>
        <v>46357</v>
      </c>
      <c r="F7" s="65"/>
      <c r="G7" s="65">
        <f>IFERROR(VLOOKUP($A7,PRIORIDAD_UNO[[Nombre del requerimiento]:[Fin Producción]],18,FALSE),"")</f>
        <v>46455</v>
      </c>
      <c r="H7" s="65"/>
      <c r="I7" s="65">
        <f>IFERROR(VLOOKUP($A7,PRIORIDAD_UNO[[Nombre del requerimiento]:[Fin Producción]],19,FALSE),"")</f>
        <v>46462</v>
      </c>
      <c r="J7" s="65"/>
      <c r="K7" s="65">
        <f>IFERROR(VLOOKUP($A7,PRIORIDAD_UNO[[Nombre del requerimiento]:[Fin Producción]],20,FALSE),"")</f>
        <v>46520</v>
      </c>
      <c r="L7" s="65"/>
      <c r="M7" s="65">
        <f>IFERROR(VLOOKUP($A7,PRIORIDAD_UNO[[Nombre del requerimiento]:[Fin Producción]],21,FALSE),"")</f>
        <v>46527</v>
      </c>
      <c r="N7" s="65"/>
    </row>
    <row r="8" spans="1:14" ht="72">
      <c r="A8" s="62" t="s">
        <v>425</v>
      </c>
      <c r="B8" s="64" t="str">
        <f>IFERROR(
VLOOKUP(A8,PRIORIDAD_UNO[[Nombre del requerimiento]:[Tamaño]],5,FALSE),"")</f>
        <v>Mediano</v>
      </c>
      <c r="C8" s="65"/>
      <c r="D8" s="66" t="str">
        <f>IF(ISBLANK(A8),"",
IFERROR(IF(VLOOKUP($A8,PRIORIDAD_UNO[[Nombre del requerimiento]:[Fin Producción]],6,FALSE)=0,"",VLOOKUP($A8,PRIORIDAD_UNO[[Nombre del requerimiento]:[Fin Producción]],6,FALSE)),"No está en hoja Prioridad 1"))</f>
        <v>Banca Digital</v>
      </c>
      <c r="E8" s="65">
        <f>IFERROR(IF(VLOOKUP($A8,PRIORIDAD_UNO[[Nombre del requerimiento]:[Fin Producción]],17,FALSE)=0,"",VLOOKUP($A8,PRIORIDAD_UNO[[Nombre del requerimiento]:[Fin Producción]],17,FALSE)),"")</f>
        <v>46235</v>
      </c>
      <c r="F8" s="65"/>
      <c r="G8" s="65">
        <f>IFERROR(VLOOKUP($A8,PRIORIDAD_UNO[[Nombre del requerimiento]:[Fin Producción]],18,FALSE),"")</f>
        <v>46330</v>
      </c>
      <c r="H8" s="65"/>
      <c r="I8" s="65">
        <f>IFERROR(VLOOKUP($A8,PRIORIDAD_UNO[[Nombre del requerimiento]:[Fin Producción]],19,FALSE),"")</f>
        <v>46337</v>
      </c>
      <c r="J8" s="65"/>
      <c r="K8" s="65">
        <f>IFERROR(VLOOKUP($A8,PRIORIDAD_UNO[[Nombre del requerimiento]:[Fin Producción]],20,FALSE),"")</f>
        <v>46399</v>
      </c>
      <c r="L8" s="65"/>
      <c r="M8" s="65">
        <f>IFERROR(VLOOKUP($A8,PRIORIDAD_UNO[[Nombre del requerimiento]:[Fin Producción]],21,FALSE),"")</f>
        <v>46406</v>
      </c>
      <c r="N8" s="65"/>
    </row>
    <row r="9" spans="1:14" ht="57.6">
      <c r="A9" s="62" t="s">
        <v>420</v>
      </c>
      <c r="B9" s="64" t="str">
        <f>IFERROR(
VLOOKUP(A9,PRIORIDAD_UNO[[Nombre del requerimiento]:[Tamaño]],5,FALSE),"")</f>
        <v>Mediano</v>
      </c>
      <c r="C9" s="65"/>
      <c r="D9" s="66" t="str">
        <f>IF(ISBLANK(A9),"",
IFERROR(IF(VLOOKUP($A9,PRIORIDAD_UNO[[Nombre del requerimiento]:[Fin Producción]],6,FALSE)=0,"",VLOOKUP($A9,PRIORIDAD_UNO[[Nombre del requerimiento]:[Fin Producción]],6,FALSE)),"No está en hoja Prioridad 1"))</f>
        <v>Finanzas y Tesorería</v>
      </c>
      <c r="E9" s="65">
        <f>IFERROR(IF(VLOOKUP($A9,PRIORIDAD_UNO[[Nombre del requerimiento]:[Fin Producción]],17,FALSE)=0,"",VLOOKUP($A9,PRIORIDAD_UNO[[Nombre del requerimiento]:[Fin Producción]],17,FALSE)),"")</f>
        <v>46296</v>
      </c>
      <c r="F9" s="65"/>
      <c r="G9" s="65">
        <f>IFERROR(VLOOKUP($A9,PRIORIDAD_UNO[[Nombre del requerimiento]:[Fin Producción]],18,FALSE),"")</f>
        <v>46395</v>
      </c>
      <c r="H9" s="65"/>
      <c r="I9" s="65">
        <f>IFERROR(VLOOKUP($A9,PRIORIDAD_UNO[[Nombre del requerimiento]:[Fin Producción]],19,FALSE),"")</f>
        <v>46402</v>
      </c>
      <c r="J9" s="65"/>
      <c r="K9" s="65">
        <f>IFERROR(VLOOKUP($A9,PRIORIDAD_UNO[[Nombre del requerimiento]:[Fin Producción]],20,FALSE),"")</f>
        <v>46458</v>
      </c>
      <c r="L9" s="65"/>
      <c r="M9" s="65">
        <f>IFERROR(VLOOKUP($A9,PRIORIDAD_UNO[[Nombre del requerimiento]:[Fin Producción]],21,FALSE),"")</f>
        <v>46465</v>
      </c>
      <c r="N9" s="65"/>
    </row>
    <row r="10" spans="1:14" ht="57.6">
      <c r="A10" s="63" t="s">
        <v>457</v>
      </c>
      <c r="B10" s="64" t="str">
        <f>IFERROR(
VLOOKUP(A10,PRIORIDAD_UNO[[Nombre del requerimiento]:[Tamaño]],5,FALSE),"")</f>
        <v/>
      </c>
      <c r="C10" s="65"/>
      <c r="D10" s="66" t="str">
        <f>IF(ISBLANK(A10),"",
IFERROR(IF(VLOOKUP($A10,PRIORIDAD_UNO[[Nombre del requerimiento]:[Fin Producción]],6,FALSE)=0,"",VLOOKUP($A10,PRIORIDAD_UNO[[Nombre del requerimiento]:[Fin Producción]],6,FALSE)),"No está en hoja Prioridad 1"))</f>
        <v>No está en hoja Prioridad 1</v>
      </c>
      <c r="E10" s="65" t="str">
        <f>IFERROR(IF(VLOOKUP($A10,PRIORIDAD_UNO[[Nombre del requerimiento]:[Fin Producción]],17,FALSE)=0,"",VLOOKUP($A10,PRIORIDAD_UNO[[Nombre del requerimiento]:[Fin Producción]],17,FALSE)),"")</f>
        <v/>
      </c>
      <c r="F10" s="65">
        <v>46431</v>
      </c>
      <c r="G10" s="65" t="str">
        <f>IFERROR(VLOOKUP($A10,PRIORIDAD_UNO[[Nombre del requerimiento]:[Fin Producción]],18,FALSE),"")</f>
        <v/>
      </c>
      <c r="H10" s="65">
        <v>46432</v>
      </c>
      <c r="I10" s="65" t="str">
        <f>IFERROR(VLOOKUP($A10,PRIORIDAD_UNO[[Nombre del requerimiento]:[Fin Producción]],19,FALSE),"")</f>
        <v/>
      </c>
      <c r="J10" s="65">
        <v>46552</v>
      </c>
      <c r="K10" s="65" t="str">
        <f>IFERROR(VLOOKUP($A10,PRIORIDAD_UNO[[Nombre del requerimiento]:[Fin Producción]],20,FALSE),"")</f>
        <v/>
      </c>
      <c r="L10" s="65">
        <v>46553</v>
      </c>
      <c r="M10" s="65" t="str">
        <f>IFERROR(VLOOKUP($A10,PRIORIDAD_UNO[[Nombre del requerimiento]:[Fin Producción]],21,FALSE),"")</f>
        <v/>
      </c>
      <c r="N10" s="65">
        <v>46568</v>
      </c>
    </row>
    <row r="11" spans="1:14" ht="86.4">
      <c r="A11" s="62" t="s">
        <v>419</v>
      </c>
      <c r="B11" s="64" t="str">
        <f>IFERROR(
VLOOKUP(A11,PRIORIDAD_UNO[[Nombre del requerimiento]:[Tamaño]],5,FALSE),"")</f>
        <v>Mediano</v>
      </c>
      <c r="C11" s="65"/>
      <c r="D11" s="66" t="str">
        <f>IF(ISBLANK(A11),"",
IFERROR(IF(VLOOKUP($A11,PRIORIDAD_UNO[[Nombre del requerimiento]:[Fin Producción]],6,FALSE)=0,"",VLOOKUP($A11,PRIORIDAD_UNO[[Nombre del requerimiento]:[Fin Producción]],6,FALSE)),"No está en hoja Prioridad 1"))</f>
        <v>Banca Digital</v>
      </c>
      <c r="E11" s="65">
        <f>IFERROR(IF(VLOOKUP($A11,PRIORIDAD_UNO[[Nombre del requerimiento]:[Fin Producción]],17,FALSE)=0,"",VLOOKUP($A11,PRIORIDAD_UNO[[Nombre del requerimiento]:[Fin Producción]],17,FALSE)),"")</f>
        <v>46266</v>
      </c>
      <c r="F11" s="65"/>
      <c r="G11" s="65">
        <f>IFERROR(VLOOKUP($A11,PRIORIDAD_UNO[[Nombre del requerimiento]:[Fin Producción]],18,FALSE),"")</f>
        <v>46359</v>
      </c>
      <c r="H11" s="65"/>
      <c r="I11" s="65">
        <f>IFERROR(VLOOKUP($A11,PRIORIDAD_UNO[[Nombre del requerimiento]:[Fin Producción]],19,FALSE),"")</f>
        <v>46370</v>
      </c>
      <c r="J11" s="65"/>
      <c r="K11" s="65">
        <f>IFERROR(VLOOKUP($A11,PRIORIDAD_UNO[[Nombre del requerimiento]:[Fin Producción]],20,FALSE),"")</f>
        <v>46428</v>
      </c>
      <c r="L11" s="65"/>
      <c r="M11" s="65">
        <f>IFERROR(VLOOKUP($A11,PRIORIDAD_UNO[[Nombre del requerimiento]:[Fin Producción]],21,FALSE),"")</f>
        <v>46435</v>
      </c>
      <c r="N11" s="65"/>
    </row>
    <row r="12" spans="1:14" ht="43.2">
      <c r="A12" s="62" t="s">
        <v>28</v>
      </c>
      <c r="B12" s="64" t="str">
        <f>IFERROR(
VLOOKUP(A12,PRIORIDAD_UNO[[Nombre del requerimiento]:[Tamaño]],5,FALSE),"")</f>
        <v>Mediano</v>
      </c>
      <c r="C12" s="65"/>
      <c r="D12" s="66" t="str">
        <f>IF(ISBLANK(A12),"",
IFERROR(IF(VLOOKUP($A12,PRIORIDAD_UNO[[Nombre del requerimiento]:[Fin Producción]],6,FALSE)=0,"",VLOOKUP($A12,PRIORIDAD_UNO[[Nombre del requerimiento]:[Fin Producción]],6,FALSE)),"No está en hoja Prioridad 1"))</f>
        <v>Banca Digital</v>
      </c>
      <c r="E12" s="65">
        <f>IFERROR(IF(VLOOKUP($A12,PRIORIDAD_UNO[[Nombre del requerimiento]:[Fin Producción]],17,FALSE)=0,"",VLOOKUP($A12,PRIORIDAD_UNO[[Nombre del requerimiento]:[Fin Producción]],17,FALSE)),"")</f>
        <v>46301</v>
      </c>
      <c r="F12" s="65"/>
      <c r="G12" s="65">
        <f>IFERROR(VLOOKUP($A12,PRIORIDAD_UNO[[Nombre del requerimiento]:[Fin Producción]],18,FALSE),"")</f>
        <v>46400</v>
      </c>
      <c r="H12" s="65"/>
      <c r="I12" s="65">
        <f>IFERROR(VLOOKUP($A12,PRIORIDAD_UNO[[Nombre del requerimiento]:[Fin Producción]],19,FALSE),"")</f>
        <v>46407</v>
      </c>
      <c r="J12" s="65"/>
      <c r="K12" s="65">
        <f>IFERROR(VLOOKUP($A12,PRIORIDAD_UNO[[Nombre del requerimiento]:[Fin Producción]],20,FALSE),"")</f>
        <v>46463</v>
      </c>
      <c r="L12" s="65"/>
      <c r="M12" s="65">
        <f>IFERROR(VLOOKUP($A12,PRIORIDAD_UNO[[Nombre del requerimiento]:[Fin Producción]],21,FALSE),"")</f>
        <v>46470</v>
      </c>
      <c r="N12" s="65"/>
    </row>
    <row r="13" spans="1:14" ht="28.8">
      <c r="A13" s="62" t="s">
        <v>418</v>
      </c>
      <c r="B13" s="64" t="str">
        <f>IFERROR(
VLOOKUP(A13,PRIORIDAD_UNO[[Nombre del requerimiento]:[Tamaño]],5,FALSE),"")</f>
        <v>Mediano</v>
      </c>
      <c r="C13" s="65"/>
      <c r="D13" s="66" t="str">
        <f>IF(ISBLANK(A13),"",
IFERROR(IF(VLOOKUP($A13,PRIORIDAD_UNO[[Nombre del requerimiento]:[Fin Producción]],6,FALSE)=0,"",VLOOKUP($A13,PRIORIDAD_UNO[[Nombre del requerimiento]:[Fin Producción]],6,FALSE)),"No está en hoja Prioridad 1"))</f>
        <v>Productos e Inclusión Financiera</v>
      </c>
      <c r="E13" s="65">
        <f>IFERROR(IF(VLOOKUP($A13,PRIORIDAD_UNO[[Nombre del requerimiento]:[Fin Producción]],17,FALSE)=0,"",VLOOKUP($A13,PRIORIDAD_UNO[[Nombre del requerimiento]:[Fin Producción]],17,FALSE)),"")</f>
        <v>46218</v>
      </c>
      <c r="F13" s="65"/>
      <c r="G13" s="65">
        <f>IFERROR(VLOOKUP($A13,PRIORIDAD_UNO[[Nombre del requerimiento]:[Fin Producción]],18,FALSE),"")</f>
        <v>46317</v>
      </c>
      <c r="H13" s="65"/>
      <c r="I13" s="65">
        <f>IFERROR(VLOOKUP($A13,PRIORIDAD_UNO[[Nombre del requerimiento]:[Fin Producción]],19,FALSE),"")</f>
        <v>46324</v>
      </c>
      <c r="J13" s="65"/>
      <c r="K13" s="65">
        <f>IFERROR(VLOOKUP($A13,PRIORIDAD_UNO[[Nombre del requerimiento]:[Fin Producción]],20,FALSE),"")</f>
        <v>46385</v>
      </c>
      <c r="L13" s="65"/>
      <c r="M13" s="65">
        <f>IFERROR(VLOOKUP($A13,PRIORIDAD_UNO[[Nombre del requerimiento]:[Fin Producción]],21,FALSE),"")</f>
        <v>46393</v>
      </c>
      <c r="N13" s="65"/>
    </row>
    <row r="14" spans="1:14" ht="28.8">
      <c r="A14" s="62" t="s">
        <v>417</v>
      </c>
      <c r="B14" s="64" t="str">
        <f>IFERROR(
VLOOKUP(A14,PRIORIDAD_UNO[[Nombre del requerimiento]:[Tamaño]],5,FALSE),"")</f>
        <v>Mediano</v>
      </c>
      <c r="C14" s="65"/>
      <c r="D14" s="66" t="str">
        <f>IF(ISBLANK(A14),"",
IFERROR(IF(VLOOKUP($A14,PRIORIDAD_UNO[[Nombre del requerimiento]:[Fin Producción]],6,FALSE)=0,"",VLOOKUP($A14,PRIORIDAD_UNO[[Nombre del requerimiento]:[Fin Producción]],6,FALSE)),"No está en hoja Prioridad 1"))</f>
        <v>Productos e Inclusión Financiera</v>
      </c>
      <c r="E14" s="65">
        <f>IFERROR(IF(VLOOKUP($A14,PRIORIDAD_UNO[[Nombre del requerimiento]:[Fin Producción]],17,FALSE)=0,"",VLOOKUP($A14,PRIORIDAD_UNO[[Nombre del requerimiento]:[Fin Producción]],17,FALSE)),"")</f>
        <v>46218</v>
      </c>
      <c r="F14" s="65"/>
      <c r="G14" s="65">
        <f>IFERROR(VLOOKUP($A14,PRIORIDAD_UNO[[Nombre del requerimiento]:[Fin Producción]],18,FALSE),"")</f>
        <v>46317</v>
      </c>
      <c r="H14" s="65"/>
      <c r="I14" s="65">
        <f>IFERROR(VLOOKUP($A14,PRIORIDAD_UNO[[Nombre del requerimiento]:[Fin Producción]],19,FALSE),"")</f>
        <v>46324</v>
      </c>
      <c r="J14" s="65"/>
      <c r="K14" s="65">
        <f>IFERROR(VLOOKUP($A14,PRIORIDAD_UNO[[Nombre del requerimiento]:[Fin Producción]],20,FALSE),"")</f>
        <v>46385</v>
      </c>
      <c r="L14" s="65"/>
      <c r="M14" s="65">
        <f>IFERROR(VLOOKUP($A14,PRIORIDAD_UNO[[Nombre del requerimiento]:[Fin Producción]],21,FALSE),"")</f>
        <v>46393</v>
      </c>
      <c r="N14" s="65"/>
    </row>
    <row r="15" spans="1:14" ht="57.6">
      <c r="A15" s="62" t="s">
        <v>415</v>
      </c>
      <c r="B15" s="64" t="str">
        <f>IFERROR(
VLOOKUP(A15,PRIORIDAD_UNO[[Nombre del requerimiento]:[Tamaño]],5,FALSE),"")</f>
        <v>Mediano</v>
      </c>
      <c r="C15" s="65"/>
      <c r="D15" s="66" t="str">
        <f>IF(ISBLANK(A15),"",
IFERROR(IF(VLOOKUP($A15,PRIORIDAD_UNO[[Nombre del requerimiento]:[Fin Producción]],6,FALSE)=0,"",VLOOKUP($A15,PRIORIDAD_UNO[[Nombre del requerimiento]:[Fin Producción]],6,FALSE)),"No está en hoja Prioridad 1"))</f>
        <v>Operaciones</v>
      </c>
      <c r="E15" s="65">
        <f>IFERROR(IF(VLOOKUP($A15,PRIORIDAD_UNO[[Nombre del requerimiento]:[Fin Producción]],17,FALSE)=0,"",VLOOKUP($A15,PRIORIDAD_UNO[[Nombre del requerimiento]:[Fin Producción]],17,FALSE)),"")</f>
        <v>46251</v>
      </c>
      <c r="F15" s="65"/>
      <c r="G15" s="65">
        <f>IFERROR(VLOOKUP($A15,PRIORIDAD_UNO[[Nombre del requerimiento]:[Fin Producción]],18,FALSE),"")</f>
        <v>46344</v>
      </c>
      <c r="H15" s="65"/>
      <c r="I15" s="65">
        <f>IFERROR(VLOOKUP($A15,PRIORIDAD_UNO[[Nombre del requerimiento]:[Fin Producción]],19,FALSE),"")</f>
        <v>46351</v>
      </c>
      <c r="J15" s="65"/>
      <c r="K15" s="65">
        <f>IFERROR(VLOOKUP($A15,PRIORIDAD_UNO[[Nombre del requerimiento]:[Fin Producción]],20,FALSE),"")</f>
        <v>46413</v>
      </c>
      <c r="L15" s="65"/>
      <c r="M15" s="65">
        <f>IFERROR(VLOOKUP($A15,PRIORIDAD_UNO[[Nombre del requerimiento]:[Fin Producción]],21,FALSE),"")</f>
        <v>46420</v>
      </c>
      <c r="N15" s="65"/>
    </row>
    <row r="16" spans="1:14" ht="43.2">
      <c r="A16" s="62" t="s">
        <v>412</v>
      </c>
      <c r="B16" s="64" t="str">
        <f>IFERROR(
VLOOKUP(A16,PRIORIDAD_UNO[[Nombre del requerimiento]:[Tamaño]],5,FALSE),"")</f>
        <v>Mediano</v>
      </c>
      <c r="C16" s="65"/>
      <c r="D16" s="66" t="str">
        <f>IF(ISBLANK(A16),"",
IFERROR(IF(VLOOKUP($A16,PRIORIDAD_UNO[[Nombre del requerimiento]:[Fin Producción]],6,FALSE)=0,"",VLOOKUP($A16,PRIORIDAD_UNO[[Nombre del requerimiento]:[Fin Producción]],6,FALSE)),"No está en hoja Prioridad 1"))</f>
        <v>Operaciones</v>
      </c>
      <c r="E16" s="65">
        <f>IFERROR(IF(VLOOKUP($A16,PRIORIDAD_UNO[[Nombre del requerimiento]:[Fin Producción]],17,FALSE)=0,"",VLOOKUP($A16,PRIORIDAD_UNO[[Nombre del requerimiento]:[Fin Producción]],17,FALSE)),"")</f>
        <v>46251</v>
      </c>
      <c r="F16" s="65"/>
      <c r="G16" s="65">
        <f>IFERROR(VLOOKUP($A16,PRIORIDAD_UNO[[Nombre del requerimiento]:[Fin Producción]],18,FALSE),"")</f>
        <v>46344</v>
      </c>
      <c r="H16" s="65"/>
      <c r="I16" s="65">
        <f>IFERROR(VLOOKUP($A16,PRIORIDAD_UNO[[Nombre del requerimiento]:[Fin Producción]],19,FALSE),"")</f>
        <v>46351</v>
      </c>
      <c r="J16" s="65"/>
      <c r="K16" s="65">
        <f>IFERROR(VLOOKUP($A16,PRIORIDAD_UNO[[Nombre del requerimiento]:[Fin Producción]],20,FALSE),"")</f>
        <v>46413</v>
      </c>
      <c r="L16" s="65"/>
      <c r="M16" s="65">
        <f>IFERROR(VLOOKUP($A16,PRIORIDAD_UNO[[Nombre del requerimiento]:[Fin Producción]],21,FALSE),"")</f>
        <v>46420</v>
      </c>
      <c r="N16" s="65"/>
    </row>
    <row r="17" spans="1:14" ht="43.2">
      <c r="A17" s="62" t="s">
        <v>458</v>
      </c>
      <c r="B17" s="64" t="str">
        <f>IFERROR(
VLOOKUP(A17,PRIORIDAD_UNO[[Nombre del requerimiento]:[Tamaño]],5,FALSE),"")</f>
        <v/>
      </c>
      <c r="C17" s="65"/>
      <c r="D17" s="66" t="str">
        <f>IF(ISBLANK(A17),"",
IFERROR(IF(VLOOKUP($A17,PRIORIDAD_UNO[[Nombre del requerimiento]:[Fin Producción]],6,FALSE)=0,"",VLOOKUP($A17,PRIORIDAD_UNO[[Nombre del requerimiento]:[Fin Producción]],6,FALSE)),"No está en hoja Prioridad 1"))</f>
        <v>No está en hoja Prioridad 1</v>
      </c>
      <c r="E17" s="65" t="str">
        <f>IFERROR(IF(VLOOKUP($A17,PRIORIDAD_UNO[[Nombre del requerimiento]:[Fin Producción]],17,FALSE)=0,"",VLOOKUP($A17,PRIORIDAD_UNO[[Nombre del requerimiento]:[Fin Producción]],17,FALSE)),"")</f>
        <v/>
      </c>
      <c r="F17" s="65"/>
      <c r="G17" s="65" t="str">
        <f>IFERROR(VLOOKUP($A17,PRIORIDAD_UNO[[Nombre del requerimiento]:[Fin Producción]],18,FALSE),"")</f>
        <v/>
      </c>
      <c r="H17" s="65"/>
      <c r="I17" s="65" t="str">
        <f>IFERROR(VLOOKUP($A17,PRIORIDAD_UNO[[Nombre del requerimiento]:[Fin Producción]],19,FALSE),"")</f>
        <v/>
      </c>
      <c r="J17" s="65"/>
      <c r="K17" s="65" t="str">
        <f>IFERROR(VLOOKUP($A17,PRIORIDAD_UNO[[Nombre del requerimiento]:[Fin Producción]],20,FALSE),"")</f>
        <v/>
      </c>
      <c r="L17" s="65"/>
      <c r="M17" s="65" t="str">
        <f>IFERROR(VLOOKUP($A17,PRIORIDAD_UNO[[Nombre del requerimiento]:[Fin Producción]],21,FALSE),"")</f>
        <v/>
      </c>
      <c r="N17" s="65"/>
    </row>
    <row r="18" spans="1:14">
      <c r="A18" s="62" t="s">
        <v>410</v>
      </c>
      <c r="B18" s="64" t="str">
        <f>IFERROR(
VLOOKUP(A18,PRIORIDAD_UNO[[Nombre del requerimiento]:[Tamaño]],5,FALSE),"")</f>
        <v>Mediano</v>
      </c>
      <c r="C18" s="65"/>
      <c r="D18" s="66" t="str">
        <f>IF(ISBLANK(A18),"",
IFERROR(IF(VLOOKUP($A18,PRIORIDAD_UNO[[Nombre del requerimiento]:[Fin Producción]],6,FALSE)=0,"",VLOOKUP($A18,PRIORIDAD_UNO[[Nombre del requerimiento]:[Fin Producción]],6,FALSE)),"No está en hoja Prioridad 1"))</f>
        <v>Banca Digital</v>
      </c>
      <c r="E18" s="65">
        <f>IFERROR(IF(VLOOKUP($A18,PRIORIDAD_UNO[[Nombre del requerimiento]:[Fin Producción]],17,FALSE)=0,"",VLOOKUP($A18,PRIORIDAD_UNO[[Nombre del requerimiento]:[Fin Producción]],17,FALSE)),"")</f>
        <v>46280</v>
      </c>
      <c r="F18" s="65"/>
      <c r="G18" s="65">
        <f>IFERROR(VLOOKUP($A18,PRIORIDAD_UNO[[Nombre del requerimiento]:[Fin Producción]],18,FALSE),"")</f>
        <v>46377</v>
      </c>
      <c r="H18" s="65"/>
      <c r="I18" s="65">
        <f>IFERROR(VLOOKUP($A18,PRIORIDAD_UNO[[Nombre del requerimiento]:[Fin Producción]],19,FALSE),"")</f>
        <v>46385</v>
      </c>
      <c r="J18" s="65"/>
      <c r="K18" s="65">
        <f>IFERROR(VLOOKUP($A18,PRIORIDAD_UNO[[Nombre del requerimiento]:[Fin Producción]],20,FALSE),"")</f>
        <v>46442</v>
      </c>
      <c r="L18" s="65"/>
      <c r="M18" s="65">
        <f>IFERROR(VLOOKUP($A18,PRIORIDAD_UNO[[Nombre del requerimiento]:[Fin Producción]],21,FALSE),"")</f>
        <v>46449</v>
      </c>
      <c r="N18" s="65"/>
    </row>
    <row r="19" spans="1:14" ht="28.8">
      <c r="A19" s="62" t="s">
        <v>459</v>
      </c>
      <c r="B19" s="64" t="str">
        <f>IFERROR(
VLOOKUP(A19,PRIORIDAD_UNO[[Nombre del requerimiento]:[Tamaño]],5,FALSE),"")</f>
        <v/>
      </c>
      <c r="C19" s="65"/>
      <c r="D19" s="66" t="str">
        <f>IF(ISBLANK(A19),"",
IFERROR(IF(VLOOKUP($A19,PRIORIDAD_UNO[[Nombre del requerimiento]:[Fin Producción]],6,FALSE)=0,"",VLOOKUP($A19,PRIORIDAD_UNO[[Nombre del requerimiento]:[Fin Producción]],6,FALSE)),"No está en hoja Prioridad 1"))</f>
        <v>No está en hoja Prioridad 1</v>
      </c>
      <c r="E19" s="65" t="str">
        <f>IFERROR(IF(VLOOKUP($A19,PRIORIDAD_UNO[[Nombre del requerimiento]:[Fin Producción]],17,FALSE)=0,"",VLOOKUP($A19,PRIORIDAD_UNO[[Nombre del requerimiento]:[Fin Producción]],17,FALSE)),"")</f>
        <v/>
      </c>
      <c r="F19" s="65"/>
      <c r="G19" s="65" t="str">
        <f>IFERROR(VLOOKUP($A19,PRIORIDAD_UNO[[Nombre del requerimiento]:[Fin Producción]],18,FALSE),"")</f>
        <v/>
      </c>
      <c r="H19" s="65"/>
      <c r="I19" s="65" t="str">
        <f>IFERROR(VLOOKUP($A19,PRIORIDAD_UNO[[Nombre del requerimiento]:[Fin Producción]],19,FALSE),"")</f>
        <v/>
      </c>
      <c r="J19" s="65"/>
      <c r="K19" s="65" t="str">
        <f>IFERROR(VLOOKUP($A19,PRIORIDAD_UNO[[Nombre del requerimiento]:[Fin Producción]],20,FALSE),"")</f>
        <v/>
      </c>
      <c r="L19" s="65"/>
      <c r="M19" s="65" t="str">
        <f>IFERROR(VLOOKUP($A19,PRIORIDAD_UNO[[Nombre del requerimiento]:[Fin Producción]],21,FALSE),"")</f>
        <v/>
      </c>
      <c r="N19" s="65"/>
    </row>
    <row r="20" spans="1:14" ht="28.8">
      <c r="A20" s="62" t="s">
        <v>460</v>
      </c>
      <c r="B20" s="64" t="str">
        <f>IFERROR(
VLOOKUP(A20,PRIORIDAD_UNO[[Nombre del requerimiento]:[Tamaño]],5,FALSE),"")</f>
        <v/>
      </c>
      <c r="C20" s="65"/>
      <c r="D20" s="66" t="str">
        <f>IF(ISBLANK(A20),"",
IFERROR(IF(VLOOKUP($A20,PRIORIDAD_UNO[[Nombre del requerimiento]:[Fin Producción]],6,FALSE)=0,"",VLOOKUP($A20,PRIORIDAD_UNO[[Nombre del requerimiento]:[Fin Producción]],6,FALSE)),"No está en hoja Prioridad 1"))</f>
        <v>No está en hoja Prioridad 1</v>
      </c>
      <c r="E20" s="65" t="str">
        <f>IFERROR(IF(VLOOKUP($A20,PRIORIDAD_UNO[[Nombre del requerimiento]:[Fin Producción]],17,FALSE)=0,"",VLOOKUP($A20,PRIORIDAD_UNO[[Nombre del requerimiento]:[Fin Producción]],17,FALSE)),"")</f>
        <v/>
      </c>
      <c r="F20" s="65"/>
      <c r="G20" s="65" t="str">
        <f>IFERROR(VLOOKUP($A20,PRIORIDAD_UNO[[Nombre del requerimiento]:[Fin Producción]],18,FALSE),"")</f>
        <v/>
      </c>
      <c r="H20" s="65"/>
      <c r="I20" s="65" t="str">
        <f>IFERROR(VLOOKUP($A20,PRIORIDAD_UNO[[Nombre del requerimiento]:[Fin Producción]],19,FALSE),"")</f>
        <v/>
      </c>
      <c r="J20" s="65"/>
      <c r="K20" s="65" t="str">
        <f>IFERROR(VLOOKUP($A20,PRIORIDAD_UNO[[Nombre del requerimiento]:[Fin Producción]],20,FALSE),"")</f>
        <v/>
      </c>
      <c r="L20" s="65"/>
      <c r="M20" s="65" t="str">
        <f>IFERROR(VLOOKUP($A20,PRIORIDAD_UNO[[Nombre del requerimiento]:[Fin Producción]],21,FALSE),"")</f>
        <v/>
      </c>
      <c r="N20" s="65"/>
    </row>
    <row r="21" spans="1:14" ht="57.6">
      <c r="A21" s="62" t="s">
        <v>409</v>
      </c>
      <c r="B21" s="64" t="str">
        <f>IFERROR(
VLOOKUP(A21,PRIORIDAD_UNO[[Nombre del requerimiento]:[Tamaño]],5,FALSE),"")</f>
        <v>Mediano</v>
      </c>
      <c r="C21" s="65"/>
      <c r="D21" s="66" t="str">
        <f>IF(ISBLANK(A21),"",
IFERROR(IF(VLOOKUP($A21,PRIORIDAD_UNO[[Nombre del requerimiento]:[Fin Producción]],6,FALSE)=0,"",VLOOKUP($A21,PRIORIDAD_UNO[[Nombre del requerimiento]:[Fin Producción]],6,FALSE)),"No está en hoja Prioridad 1"))</f>
        <v>Banca Digital</v>
      </c>
      <c r="E21" s="65">
        <f>IFERROR(IF(VLOOKUP($A21,PRIORIDAD_UNO[[Nombre del requerimiento]:[Fin Producción]],17,FALSE)=0,"",VLOOKUP($A21,PRIORIDAD_UNO[[Nombre del requerimiento]:[Fin Producción]],17,FALSE)),"")</f>
        <v>46315</v>
      </c>
      <c r="F21" s="65"/>
      <c r="G21" s="65">
        <f>IFERROR(VLOOKUP($A21,PRIORIDAD_UNO[[Nombre del requerimiento]:[Fin Producción]],18,FALSE),"")</f>
        <v>46413</v>
      </c>
      <c r="H21" s="65"/>
      <c r="I21" s="65">
        <f>IFERROR(VLOOKUP($A21,PRIORIDAD_UNO[[Nombre del requerimiento]:[Fin Producción]],19,FALSE),"")</f>
        <v>46420</v>
      </c>
      <c r="J21" s="65"/>
      <c r="K21" s="65">
        <f>IFERROR(VLOOKUP($A21,PRIORIDAD_UNO[[Nombre del requerimiento]:[Fin Producción]],20,FALSE),"")</f>
        <v>46478</v>
      </c>
      <c r="L21" s="65"/>
      <c r="M21" s="65">
        <f>IFERROR(VLOOKUP($A21,PRIORIDAD_UNO[[Nombre del requerimiento]:[Fin Producción]],21,FALSE),"")</f>
        <v>46485</v>
      </c>
      <c r="N21" s="65"/>
    </row>
    <row r="22" spans="1:14" ht="43.2">
      <c r="A22" s="62" t="s">
        <v>407</v>
      </c>
      <c r="B22" s="64" t="str">
        <f>IFERROR(
VLOOKUP(A22,PRIORIDAD_UNO[[Nombre del requerimiento]:[Tamaño]],5,FALSE),"")</f>
        <v>Mediano</v>
      </c>
      <c r="C22" s="65"/>
      <c r="D22" s="66" t="str">
        <f>IF(ISBLANK(A22),"",
IFERROR(IF(VLOOKUP($A22,PRIORIDAD_UNO[[Nombre del requerimiento]:[Fin Producción]],6,FALSE)=0,"",VLOOKUP($A22,PRIORIDAD_UNO[[Nombre del requerimiento]:[Fin Producción]],6,FALSE)),"No está en hoja Prioridad 1"))</f>
        <v>Banca Digital</v>
      </c>
      <c r="E22" s="65">
        <f>IFERROR(IF(VLOOKUP($A22,PRIORIDAD_UNO[[Nombre del requerimiento]:[Fin Producción]],17,FALSE)=0,"",VLOOKUP($A22,PRIORIDAD_UNO[[Nombre del requerimiento]:[Fin Producción]],17,FALSE)),"")</f>
        <v>46315</v>
      </c>
      <c r="F22" s="65"/>
      <c r="G22" s="65">
        <f>IFERROR(VLOOKUP($A22,PRIORIDAD_UNO[[Nombre del requerimiento]:[Fin Producción]],18,FALSE),"")</f>
        <v>46413</v>
      </c>
      <c r="H22" s="65"/>
      <c r="I22" s="65">
        <f>IFERROR(VLOOKUP($A22,PRIORIDAD_UNO[[Nombre del requerimiento]:[Fin Producción]],19,FALSE),"")</f>
        <v>46420</v>
      </c>
      <c r="J22" s="65"/>
      <c r="K22" s="65">
        <f>IFERROR(VLOOKUP($A22,PRIORIDAD_UNO[[Nombre del requerimiento]:[Fin Producción]],20,FALSE),"")</f>
        <v>46478</v>
      </c>
      <c r="L22" s="65"/>
      <c r="M22" s="65">
        <f>IFERROR(VLOOKUP($A22,PRIORIDAD_UNO[[Nombre del requerimiento]:[Fin Producción]],21,FALSE),"")</f>
        <v>46485</v>
      </c>
      <c r="N22" s="65"/>
    </row>
    <row r="23" spans="1:14" ht="43.2">
      <c r="A23" s="62" t="s">
        <v>405</v>
      </c>
      <c r="B23" s="64" t="str">
        <f>IFERROR(
VLOOKUP(A23,PRIORIDAD_UNO[[Nombre del requerimiento]:[Tamaño]],5,FALSE),"")</f>
        <v>Mediano</v>
      </c>
      <c r="C23" s="65"/>
      <c r="D23" s="66" t="str">
        <f>IF(ISBLANK(A23),"",
IFERROR(IF(VLOOKUP($A23,PRIORIDAD_UNO[[Nombre del requerimiento]:[Fin Producción]],6,FALSE)=0,"",VLOOKUP($A23,PRIORIDAD_UNO[[Nombre del requerimiento]:[Fin Producción]],6,FALSE)),"No está en hoja Prioridad 1"))</f>
        <v>Banca Digital</v>
      </c>
      <c r="E23" s="65">
        <f>IFERROR(IF(VLOOKUP($A23,PRIORIDAD_UNO[[Nombre del requerimiento]:[Fin Producción]],17,FALSE)=0,"",VLOOKUP($A23,PRIORIDAD_UNO[[Nombre del requerimiento]:[Fin Producción]],17,FALSE)),"")</f>
        <v>46287</v>
      </c>
      <c r="F23" s="65"/>
      <c r="G23" s="65">
        <f>IFERROR(VLOOKUP($A23,PRIORIDAD_UNO[[Nombre del requerimiento]:[Fin Producción]],18,FALSE),"")</f>
        <v>46385</v>
      </c>
      <c r="H23" s="65"/>
      <c r="I23" s="65">
        <f>IFERROR(VLOOKUP($A23,PRIORIDAD_UNO[[Nombre del requerimiento]:[Fin Producción]],19,FALSE),"")</f>
        <v>46393</v>
      </c>
      <c r="J23" s="65"/>
      <c r="K23" s="65">
        <f>IFERROR(VLOOKUP($A23,PRIORIDAD_UNO[[Nombre del requerimiento]:[Fin Producción]],20,FALSE),"")</f>
        <v>46449</v>
      </c>
      <c r="L23" s="65"/>
      <c r="M23" s="65">
        <f>IFERROR(VLOOKUP($A23,PRIORIDAD_UNO[[Nombre del requerimiento]:[Fin Producción]],21,FALSE),"")</f>
        <v>46456</v>
      </c>
      <c r="N23" s="65"/>
    </row>
    <row r="24" spans="1:14" ht="57.6">
      <c r="A24" s="62" t="s">
        <v>404</v>
      </c>
      <c r="B24" s="64" t="str">
        <f>IFERROR(
VLOOKUP(A24,PRIORIDAD_UNO[[Nombre del requerimiento]:[Tamaño]],5,FALSE),"")</f>
        <v>Mediano</v>
      </c>
      <c r="C24" s="65"/>
      <c r="D24" s="66" t="str">
        <f>IF(ISBLANK(A24),"",
IFERROR(IF(VLOOKUP($A24,PRIORIDAD_UNO[[Nombre del requerimiento]:[Fin Producción]],6,FALSE)=0,"",VLOOKUP($A24,PRIORIDAD_UNO[[Nombre del requerimiento]:[Fin Producción]],6,FALSE)),"No está en hoja Prioridad 1"))</f>
        <v>Productos e Inclusión Financiera</v>
      </c>
      <c r="E24" s="65">
        <f>IFERROR(IF(VLOOKUP($A24,PRIORIDAD_UNO[[Nombre del requerimiento]:[Fin Producción]],17,FALSE)=0,"",VLOOKUP($A24,PRIORIDAD_UNO[[Nombre del requerimiento]:[Fin Producción]],17,FALSE)),"")</f>
        <v>46218</v>
      </c>
      <c r="F24" s="65"/>
      <c r="G24" s="65">
        <f>IFERROR(VLOOKUP($A24,PRIORIDAD_UNO[[Nombre del requerimiento]:[Fin Producción]],18,FALSE),"")</f>
        <v>46317</v>
      </c>
      <c r="H24" s="65"/>
      <c r="I24" s="65">
        <f>IFERROR(VLOOKUP($A24,PRIORIDAD_UNO[[Nombre del requerimiento]:[Fin Producción]],19,FALSE),"")</f>
        <v>46324</v>
      </c>
      <c r="J24" s="65"/>
      <c r="K24" s="65">
        <f>IFERROR(VLOOKUP($A24,PRIORIDAD_UNO[[Nombre del requerimiento]:[Fin Producción]],20,FALSE),"")</f>
        <v>46385</v>
      </c>
      <c r="L24" s="65"/>
      <c r="M24" s="65">
        <f>IFERROR(VLOOKUP($A24,PRIORIDAD_UNO[[Nombre del requerimiento]:[Fin Producción]],21,FALSE),"")</f>
        <v>46393</v>
      </c>
      <c r="N24" s="65"/>
    </row>
    <row r="25" spans="1:14" ht="28.8">
      <c r="A25" s="62" t="s">
        <v>461</v>
      </c>
      <c r="B25" s="64" t="str">
        <f>IFERROR(
VLOOKUP(A25,PRIORIDAD_UNO[[Nombre del requerimiento]:[Tamaño]],5,FALSE),"")</f>
        <v/>
      </c>
      <c r="C25" s="65"/>
      <c r="D25" s="66" t="str">
        <f>IF(ISBLANK(A25),"",
IFERROR(IF(VLOOKUP($A25,PRIORIDAD_UNO[[Nombre del requerimiento]:[Fin Producción]],6,FALSE)=0,"",VLOOKUP($A25,PRIORIDAD_UNO[[Nombre del requerimiento]:[Fin Producción]],6,FALSE)),"No está en hoja Prioridad 1"))</f>
        <v>No está en hoja Prioridad 1</v>
      </c>
      <c r="E25" s="65" t="str">
        <f>IFERROR(IF(VLOOKUP($A25,PRIORIDAD_UNO[[Nombre del requerimiento]:[Fin Producción]],17,FALSE)=0,"",VLOOKUP($A25,PRIORIDAD_UNO[[Nombre del requerimiento]:[Fin Producción]],17,FALSE)),"")</f>
        <v/>
      </c>
      <c r="F25" s="65"/>
      <c r="G25" s="65" t="str">
        <f>IFERROR(VLOOKUP($A25,PRIORIDAD_UNO[[Nombre del requerimiento]:[Fin Producción]],18,FALSE),"")</f>
        <v/>
      </c>
      <c r="H25" s="65"/>
      <c r="I25" s="65" t="str">
        <f>IFERROR(VLOOKUP($A25,PRIORIDAD_UNO[[Nombre del requerimiento]:[Fin Producción]],19,FALSE),"")</f>
        <v/>
      </c>
      <c r="J25" s="65"/>
      <c r="K25" s="65" t="str">
        <f>IFERROR(VLOOKUP($A25,PRIORIDAD_UNO[[Nombre del requerimiento]:[Fin Producción]],20,FALSE),"")</f>
        <v/>
      </c>
      <c r="L25" s="65"/>
      <c r="M25" s="65" t="str">
        <f>IFERROR(VLOOKUP($A25,PRIORIDAD_UNO[[Nombre del requerimiento]:[Fin Producción]],21,FALSE),"")</f>
        <v/>
      </c>
      <c r="N25" s="65"/>
    </row>
    <row r="26" spans="1:14" ht="57.6">
      <c r="A26" s="62" t="s">
        <v>400</v>
      </c>
      <c r="B26" s="64" t="str">
        <f>IFERROR(
VLOOKUP(A26,PRIORIDAD_UNO[[Nombre del requerimiento]:[Tamaño]],5,FALSE),"")</f>
        <v>Extra Grande</v>
      </c>
      <c r="C26" s="65"/>
      <c r="D26" s="66" t="str">
        <f>IF(ISBLANK(A26),"",
IFERROR(IF(VLOOKUP($A26,PRIORIDAD_UNO[[Nombre del requerimiento]:[Fin Producción]],6,FALSE)=0,"",VLOOKUP($A26,PRIORIDAD_UNO[[Nombre del requerimiento]:[Fin Producción]],6,FALSE)),"No está en hoja Prioridad 1"))</f>
        <v>Operaciones</v>
      </c>
      <c r="E26" s="65">
        <f>IFERROR(IF(VLOOKUP($A26,PRIORIDAD_UNO[[Nombre del requerimiento]:[Fin Producción]],17,FALSE)=0,"",VLOOKUP($A26,PRIORIDAD_UNO[[Nombre del requerimiento]:[Fin Producción]],17,FALSE)),"")</f>
        <v>46251</v>
      </c>
      <c r="F26" s="65"/>
      <c r="G26" s="65">
        <f>IFERROR(VLOOKUP($A26,PRIORIDAD_UNO[[Nombre del requerimiento]:[Fin Producción]],18,FALSE),"")</f>
        <v>46476</v>
      </c>
      <c r="H26" s="65"/>
      <c r="I26" s="65">
        <f>IFERROR(VLOOKUP($A26,PRIORIDAD_UNO[[Nombre del requerimiento]:[Fin Producción]],19,FALSE),"")</f>
        <v>46483</v>
      </c>
      <c r="J26" s="65"/>
      <c r="K26" s="65">
        <f>IFERROR(VLOOKUP($A26,PRIORIDAD_UNO[[Nombre del requerimiento]:[Fin Producción]],20,FALSE),"")</f>
        <v>46554</v>
      </c>
      <c r="L26" s="65"/>
      <c r="M26" s="65">
        <f>IFERROR(VLOOKUP($A26,PRIORIDAD_UNO[[Nombre del requerimiento]:[Fin Producción]],21,FALSE),"")</f>
        <v>46561</v>
      </c>
      <c r="N26" s="65"/>
    </row>
    <row r="27" spans="1:14" ht="43.2">
      <c r="A27" s="62" t="s">
        <v>397</v>
      </c>
      <c r="B27" s="64" t="str">
        <f>IFERROR(
VLOOKUP(A27,PRIORIDAD_UNO[[Nombre del requerimiento]:[Tamaño]],5,FALSE),"")</f>
        <v>Proyecto</v>
      </c>
      <c r="C27" s="65"/>
      <c r="D27" s="66" t="str">
        <f>IF(ISBLANK(A27),"",
IFERROR(IF(VLOOKUP($A27,PRIORIDAD_UNO[[Nombre del requerimiento]:[Fin Producción]],6,FALSE)=0,"",VLOOKUP($A27,PRIORIDAD_UNO[[Nombre del requerimiento]:[Fin Producción]],6,FALSE)),"No está en hoja Prioridad 1"))</f>
        <v>Riesgos</v>
      </c>
      <c r="E27" s="65">
        <f>IFERROR(IF(VLOOKUP($A27,PRIORIDAD_UNO[[Nombre del requerimiento]:[Fin Producción]],17,FALSE)=0,"",VLOOKUP($A27,PRIORIDAD_UNO[[Nombre del requerimiento]:[Fin Producción]],17,FALSE)),"")</f>
        <v>46327</v>
      </c>
      <c r="F27" s="65"/>
      <c r="G27" s="65">
        <f>IFERROR(VLOOKUP($A27,PRIORIDAD_UNO[[Nombre del requerimiento]:[Fin Producción]],18,FALSE),"")</f>
        <v>46583</v>
      </c>
      <c r="H27" s="65"/>
      <c r="I27" s="65">
        <f>IFERROR(VLOOKUP($A27,PRIORIDAD_UNO[[Nombre del requerimiento]:[Fin Producción]],19,FALSE),"")</f>
        <v>46590</v>
      </c>
      <c r="J27" s="65"/>
      <c r="K27" s="65">
        <f>IFERROR(VLOOKUP($A27,PRIORIDAD_UNO[[Nombre del requerimiento]:[Fin Producción]],20,FALSE),"")</f>
        <v>46667</v>
      </c>
      <c r="L27" s="65"/>
      <c r="M27" s="65">
        <f>IFERROR(VLOOKUP($A27,PRIORIDAD_UNO[[Nombre del requerimiento]:[Fin Producción]],21,FALSE),"")</f>
        <v>46675</v>
      </c>
      <c r="N27" s="65"/>
    </row>
    <row r="28" spans="1:14" ht="28.8">
      <c r="A28" s="62" t="s">
        <v>394</v>
      </c>
      <c r="B28" s="64" t="str">
        <f>IFERROR(
VLOOKUP(A28,PRIORIDAD_UNO[[Nombre del requerimiento]:[Tamaño]],5,FALSE),"")</f>
        <v>Grande</v>
      </c>
      <c r="C28" s="65"/>
      <c r="D28" s="66" t="str">
        <f>IF(ISBLANK(A28),"",
IFERROR(IF(VLOOKUP($A28,PRIORIDAD_UNO[[Nombre del requerimiento]:[Fin Producción]],6,FALSE)=0,"",VLOOKUP($A28,PRIORIDAD_UNO[[Nombre del requerimiento]:[Fin Producción]],6,FALSE)),"No está en hoja Prioridad 1"))</f>
        <v>Riesgos</v>
      </c>
      <c r="E28" s="65">
        <f>IFERROR(IF(VLOOKUP($A28,PRIORIDAD_UNO[[Nombre del requerimiento]:[Fin Producción]],17,FALSE)=0,"",VLOOKUP($A28,PRIORIDAD_UNO[[Nombre del requerimiento]:[Fin Producción]],17,FALSE)),"")</f>
        <v>46272</v>
      </c>
      <c r="F28" s="65"/>
      <c r="G28" s="65">
        <f>IFERROR(VLOOKUP($A28,PRIORIDAD_UNO[[Nombre del requerimiento]:[Fin Producción]],18,FALSE),"")</f>
        <v>46433</v>
      </c>
      <c r="H28" s="65"/>
      <c r="I28" s="65">
        <f>IFERROR(VLOOKUP($A28,PRIORIDAD_UNO[[Nombre del requerimiento]:[Fin Producción]],19,FALSE),"")</f>
        <v>46440</v>
      </c>
      <c r="J28" s="65"/>
      <c r="K28" s="65">
        <f>IFERROR(VLOOKUP($A28,PRIORIDAD_UNO[[Nombre del requerimiento]:[Fin Producción]],20,FALSE),"")</f>
        <v>46512</v>
      </c>
      <c r="L28" s="65"/>
      <c r="M28" s="65">
        <f>IFERROR(VLOOKUP($A28,PRIORIDAD_UNO[[Nombre del requerimiento]:[Fin Producción]],21,FALSE),"")</f>
        <v>46519</v>
      </c>
      <c r="N28" s="65"/>
    </row>
    <row r="29" spans="1:14" ht="28.8">
      <c r="A29" s="62" t="s">
        <v>388</v>
      </c>
      <c r="B29" s="64" t="str">
        <f>IFERROR(
VLOOKUP(A29,PRIORIDAD_UNO[[Nombre del requerimiento]:[Tamaño]],5,FALSE),"")</f>
        <v>Grande</v>
      </c>
      <c r="C29" s="65"/>
      <c r="D29" s="66" t="str">
        <f>IF(ISBLANK(A29),"",
IFERROR(IF(VLOOKUP($A29,PRIORIDAD_UNO[[Nombre del requerimiento]:[Fin Producción]],6,FALSE)=0,"",VLOOKUP($A29,PRIORIDAD_UNO[[Nombre del requerimiento]:[Fin Producción]],6,FALSE)),"No está en hoja Prioridad 1"))</f>
        <v>Banca Digital</v>
      </c>
      <c r="E29" s="65">
        <f>IFERROR(IF(VLOOKUP($A29,PRIORIDAD_UNO[[Nombre del requerimiento]:[Fin Producción]],17,FALSE)=0,"",VLOOKUP($A29,PRIORIDAD_UNO[[Nombre del requerimiento]:[Fin Producción]],17,FALSE)),"")</f>
        <v>46296</v>
      </c>
      <c r="F29" s="65"/>
      <c r="G29" s="65">
        <f>IFERROR(VLOOKUP($A29,PRIORIDAD_UNO[[Nombre del requerimiento]:[Fin Producción]],18,FALSE),"")</f>
        <v>46457</v>
      </c>
      <c r="H29" s="65"/>
      <c r="I29" s="65">
        <f>IFERROR(VLOOKUP($A29,PRIORIDAD_UNO[[Nombre del requerimiento]:[Fin Producción]],19,FALSE),"")</f>
        <v>46464</v>
      </c>
      <c r="J29" s="65"/>
      <c r="K29" s="65">
        <f>IFERROR(VLOOKUP($A29,PRIORIDAD_UNO[[Nombre del requerimiento]:[Fin Producción]],20,FALSE),"")</f>
        <v>46538</v>
      </c>
      <c r="L29" s="65"/>
      <c r="M29" s="65">
        <f>IFERROR(VLOOKUP($A29,PRIORIDAD_UNO[[Nombre del requerimiento]:[Fin Producción]],21,FALSE),"")</f>
        <v>46546</v>
      </c>
      <c r="N29" s="65"/>
    </row>
    <row r="30" spans="1:14" ht="28.8">
      <c r="A30" s="62" t="s">
        <v>387</v>
      </c>
      <c r="B30" s="64" t="str">
        <f>IFERROR(
VLOOKUP(A30,PRIORIDAD_UNO[[Nombre del requerimiento]:[Tamaño]],5,FALSE),"")</f>
        <v>Mediano</v>
      </c>
      <c r="C30" s="65"/>
      <c r="D30" s="66" t="str">
        <f>IF(ISBLANK(A30),"",
IFERROR(IF(VLOOKUP($A30,PRIORIDAD_UNO[[Nombre del requerimiento]:[Fin Producción]],6,FALSE)=0,"",VLOOKUP($A30,PRIORIDAD_UNO[[Nombre del requerimiento]:[Fin Producción]],6,FALSE)),"No está en hoja Prioridad 1"))</f>
        <v>Productos e Inclusión Financiera</v>
      </c>
      <c r="E30" s="65">
        <f>IFERROR(IF(VLOOKUP($A30,PRIORIDAD_UNO[[Nombre del requerimiento]:[Fin Producción]],17,FALSE)=0,"",VLOOKUP($A30,PRIORIDAD_UNO[[Nombre del requerimiento]:[Fin Producción]],17,FALSE)),"")</f>
        <v>46328</v>
      </c>
      <c r="F30" s="65"/>
      <c r="G30" s="65">
        <f>IFERROR(VLOOKUP($A30,PRIORIDAD_UNO[[Nombre del requerimiento]:[Fin Producción]],18,FALSE),"")</f>
        <v>46426</v>
      </c>
      <c r="H30" s="65"/>
      <c r="I30" s="65">
        <f>IFERROR(VLOOKUP($A30,PRIORIDAD_UNO[[Nombre del requerimiento]:[Fin Producción]],19,FALSE),"")</f>
        <v>46433</v>
      </c>
      <c r="J30" s="65"/>
      <c r="K30" s="65">
        <f>IFERROR(VLOOKUP($A30,PRIORIDAD_UNO[[Nombre del requerimiento]:[Fin Producción]],20,FALSE),"")</f>
        <v>46491</v>
      </c>
      <c r="L30" s="65"/>
      <c r="M30" s="65">
        <f>IFERROR(VLOOKUP($A30,PRIORIDAD_UNO[[Nombre del requerimiento]:[Fin Producción]],21,FALSE),"")</f>
        <v>46498</v>
      </c>
      <c r="N30" s="65"/>
    </row>
    <row r="31" spans="1:14" ht="28.8">
      <c r="A31" s="62" t="s">
        <v>386</v>
      </c>
      <c r="B31" s="64" t="str">
        <f>IFERROR(
VLOOKUP(A31,PRIORIDAD_UNO[[Nombre del requerimiento]:[Tamaño]],5,FALSE),"")</f>
        <v>Grande</v>
      </c>
      <c r="C31" s="65"/>
      <c r="D31" s="66" t="str">
        <f>IF(ISBLANK(A31),"",
IFERROR(IF(VLOOKUP($A31,PRIORIDAD_UNO[[Nombre del requerimiento]:[Fin Producción]],6,FALSE)=0,"",VLOOKUP($A31,PRIORIDAD_UNO[[Nombre del requerimiento]:[Fin Producción]],6,FALSE)),"No está en hoja Prioridad 1"))</f>
        <v>Banca Digital</v>
      </c>
      <c r="E31" s="65">
        <f>IFERROR(IF(VLOOKUP($A31,PRIORIDAD_UNO[[Nombre del requerimiento]:[Fin Producción]],17,FALSE)=0,"",VLOOKUP($A31,PRIORIDAD_UNO[[Nombre del requerimiento]:[Fin Producción]],17,FALSE)),"")</f>
        <v>46266</v>
      </c>
      <c r="F31" s="65"/>
      <c r="G31" s="65">
        <f>IFERROR(VLOOKUP($A31,PRIORIDAD_UNO[[Nombre del requerimiento]:[Fin Producción]],18,FALSE),"")</f>
        <v>46427</v>
      </c>
      <c r="H31" s="65"/>
      <c r="I31" s="65">
        <f>IFERROR(VLOOKUP($A31,PRIORIDAD_UNO[[Nombre del requerimiento]:[Fin Producción]],19,FALSE),"")</f>
        <v>46434</v>
      </c>
      <c r="J31" s="65"/>
      <c r="K31" s="65">
        <f>IFERROR(VLOOKUP($A31,PRIORIDAD_UNO[[Nombre del requerimiento]:[Fin Producción]],20,FALSE),"")</f>
        <v>46506</v>
      </c>
      <c r="L31" s="65"/>
      <c r="M31" s="65">
        <f>IFERROR(VLOOKUP($A31,PRIORIDAD_UNO[[Nombre del requerimiento]:[Fin Producción]],21,FALSE),"")</f>
        <v>46513</v>
      </c>
      <c r="N31" s="65"/>
    </row>
    <row r="32" spans="1:14" ht="28.8">
      <c r="A32" s="62" t="s">
        <v>462</v>
      </c>
      <c r="B32" s="64" t="str">
        <f>IFERROR(
VLOOKUP(A32,PRIORIDAD_UNO[[Nombre del requerimiento]:[Tamaño]],5,FALSE),"")</f>
        <v/>
      </c>
      <c r="C32" s="65"/>
      <c r="D32" s="66" t="str">
        <f>IF(ISBLANK(A32),"",
IFERROR(IF(VLOOKUP($A32,PRIORIDAD_UNO[[Nombre del requerimiento]:[Fin Producción]],6,FALSE)=0,"",VLOOKUP($A32,PRIORIDAD_UNO[[Nombre del requerimiento]:[Fin Producción]],6,FALSE)),"No está en hoja Prioridad 1"))</f>
        <v>No está en hoja Prioridad 1</v>
      </c>
      <c r="E32" s="65" t="str">
        <f>IFERROR(IF(VLOOKUP($A32,PRIORIDAD_UNO[[Nombre del requerimiento]:[Fin Producción]],17,FALSE)=0,"",VLOOKUP($A32,PRIORIDAD_UNO[[Nombre del requerimiento]:[Fin Producción]],17,FALSE)),"")</f>
        <v/>
      </c>
      <c r="F32" s="65"/>
      <c r="G32" s="65" t="str">
        <f>IFERROR(VLOOKUP($A32,PRIORIDAD_UNO[[Nombre del requerimiento]:[Fin Producción]],18,FALSE),"")</f>
        <v/>
      </c>
      <c r="H32" s="65"/>
      <c r="I32" s="65" t="str">
        <f>IFERROR(VLOOKUP($A32,PRIORIDAD_UNO[[Nombre del requerimiento]:[Fin Producción]],19,FALSE),"")</f>
        <v/>
      </c>
      <c r="J32" s="65"/>
      <c r="K32" s="65" t="str">
        <f>IFERROR(VLOOKUP($A32,PRIORIDAD_UNO[[Nombre del requerimiento]:[Fin Producción]],20,FALSE),"")</f>
        <v/>
      </c>
      <c r="L32" s="65"/>
      <c r="M32" s="65" t="str">
        <f>IFERROR(VLOOKUP($A32,PRIORIDAD_UNO[[Nombre del requerimiento]:[Fin Producción]],21,FALSE),"")</f>
        <v/>
      </c>
      <c r="N32" s="65"/>
    </row>
    <row r="33" spans="1:14" ht="28.8">
      <c r="A33" s="62" t="s">
        <v>384</v>
      </c>
      <c r="B33" s="64" t="str">
        <f>IFERROR(
VLOOKUP(A33,PRIORIDAD_UNO[[Nombre del requerimiento]:[Tamaño]],5,FALSE),"")</f>
        <v>Mediano</v>
      </c>
      <c r="C33" s="65"/>
      <c r="D33" s="66" t="str">
        <f>IF(ISBLANK(A33),"",
IFERROR(IF(VLOOKUP($A33,PRIORIDAD_UNO[[Nombre del requerimiento]:[Fin Producción]],6,FALSE)=0,"",VLOOKUP($A33,PRIORIDAD_UNO[[Nombre del requerimiento]:[Fin Producción]],6,FALSE)),"No está en hoja Prioridad 1"))</f>
        <v>Administración y Logistica</v>
      </c>
      <c r="E33" s="65">
        <f>IFERROR(IF(VLOOKUP($A33,PRIORIDAD_UNO[[Nombre del requerimiento]:[Fin Producción]],17,FALSE)=0,"",VLOOKUP($A33,PRIORIDAD_UNO[[Nombre del requerimiento]:[Fin Producción]],17,FALSE)),"")</f>
        <v>46235</v>
      </c>
      <c r="F33" s="65"/>
      <c r="G33" s="65">
        <f>IFERROR(VLOOKUP($A33,PRIORIDAD_UNO[[Nombre del requerimiento]:[Fin Producción]],18,FALSE),"")</f>
        <v>46330</v>
      </c>
      <c r="H33" s="65"/>
      <c r="I33" s="65">
        <f>IFERROR(VLOOKUP($A33,PRIORIDAD_UNO[[Nombre del requerimiento]:[Fin Producción]],19,FALSE),"")</f>
        <v>46337</v>
      </c>
      <c r="J33" s="65"/>
      <c r="K33" s="65">
        <f>IFERROR(VLOOKUP($A33,PRIORIDAD_UNO[[Nombre del requerimiento]:[Fin Producción]],20,FALSE),"")</f>
        <v>46399</v>
      </c>
      <c r="L33" s="65"/>
      <c r="M33" s="65">
        <f>IFERROR(VLOOKUP($A33,PRIORIDAD_UNO[[Nombre del requerimiento]:[Fin Producción]],21,FALSE),"")</f>
        <v>46406</v>
      </c>
      <c r="N33" s="65"/>
    </row>
    <row r="34" spans="1:14" ht="28.8">
      <c r="A34" s="62" t="s">
        <v>380</v>
      </c>
      <c r="B34" s="64" t="str">
        <f>IFERROR(
VLOOKUP(A34,PRIORIDAD_UNO[[Nombre del requerimiento]:[Tamaño]],5,FALSE),"")</f>
        <v>Mediano</v>
      </c>
      <c r="C34" s="65"/>
      <c r="D34" s="66" t="str">
        <f>IF(ISBLANK(A34),"",
IFERROR(IF(VLOOKUP($A34,PRIORIDAD_UNO[[Nombre del requerimiento]:[Fin Producción]],6,FALSE)=0,"",VLOOKUP($A34,PRIORIDAD_UNO[[Nombre del requerimiento]:[Fin Producción]],6,FALSE)),"No está en hoja Prioridad 1"))</f>
        <v>Banca Digital</v>
      </c>
      <c r="E34" s="65">
        <f>IFERROR(IF(VLOOKUP($A34,PRIORIDAD_UNO[[Nombre del requerimiento]:[Fin Producción]],17,FALSE)=0,"",VLOOKUP($A34,PRIORIDAD_UNO[[Nombre del requerimiento]:[Fin Producción]],17,FALSE)),"")</f>
        <v>46204</v>
      </c>
      <c r="F34" s="65"/>
      <c r="G34" s="65">
        <f>IFERROR(VLOOKUP($A34,PRIORIDAD_UNO[[Nombre del requerimiento]:[Fin Producción]],18,FALSE),"")</f>
        <v>46302</v>
      </c>
      <c r="H34" s="65"/>
      <c r="I34" s="65">
        <f>IFERROR(VLOOKUP($A34,PRIORIDAD_UNO[[Nombre del requerimiento]:[Fin Producción]],19,FALSE),"")</f>
        <v>46310</v>
      </c>
      <c r="J34" s="65"/>
      <c r="K34" s="65">
        <f>IFERROR(VLOOKUP($A34,PRIORIDAD_UNO[[Nombre del requerimiento]:[Fin Producción]],20,FALSE),"")</f>
        <v>46370</v>
      </c>
      <c r="L34" s="65"/>
      <c r="M34" s="65">
        <f>IFERROR(VLOOKUP($A34,PRIORIDAD_UNO[[Nombre del requerimiento]:[Fin Producción]],21,FALSE),"")</f>
        <v>46377</v>
      </c>
      <c r="N34" s="65"/>
    </row>
    <row r="35" spans="1:14" ht="43.2">
      <c r="A35" s="62" t="s">
        <v>376</v>
      </c>
      <c r="B35" s="64" t="str">
        <f>IFERROR(
VLOOKUP(A35,PRIORIDAD_UNO[[Nombre del requerimiento]:[Tamaño]],5,FALSE),"")</f>
        <v>Pequeño</v>
      </c>
      <c r="C35" s="65"/>
      <c r="D35" s="66" t="str">
        <f>IF(ISBLANK(A35),"",
IFERROR(IF(VLOOKUP($A35,PRIORIDAD_UNO[[Nombre del requerimiento]:[Fin Producción]],6,FALSE)=0,"",VLOOKUP($A35,PRIORIDAD_UNO[[Nombre del requerimiento]:[Fin Producción]],6,FALSE)),"No está en hoja Prioridad 1"))</f>
        <v>OPLAFT</v>
      </c>
      <c r="E35" s="65">
        <f>IFERROR(IF(VLOOKUP($A35,PRIORIDAD_UNO[[Nombre del requerimiento]:[Fin Producción]],17,FALSE)=0,"",VLOOKUP($A35,PRIORIDAD_UNO[[Nombre del requerimiento]:[Fin Producción]],17,FALSE)),"")</f>
        <v>46329</v>
      </c>
      <c r="F35" s="65"/>
      <c r="G35" s="65">
        <f>IFERROR(VLOOKUP($A35,PRIORIDAD_UNO[[Nombre del requerimiento]:[Fin Producción]],18,FALSE),"")</f>
        <v>46373</v>
      </c>
      <c r="H35" s="65"/>
      <c r="I35" s="65">
        <f>IFERROR(VLOOKUP($A35,PRIORIDAD_UNO[[Nombre del requerimiento]:[Fin Producción]],19,FALSE),"")</f>
        <v>46380</v>
      </c>
      <c r="J35" s="65"/>
      <c r="K35" s="65">
        <f>IFERROR(VLOOKUP($A35,PRIORIDAD_UNO[[Nombre del requerimiento]:[Fin Producción]],20,FALSE),"")</f>
        <v>46426</v>
      </c>
      <c r="L35" s="65"/>
      <c r="M35" s="65">
        <f>IFERROR(VLOOKUP($A35,PRIORIDAD_UNO[[Nombre del requerimiento]:[Fin Producción]],21,FALSE),"")</f>
        <v>46433</v>
      </c>
      <c r="N35" s="65"/>
    </row>
    <row r="36" spans="1:14" ht="43.2">
      <c r="A36" s="62" t="s">
        <v>463</v>
      </c>
      <c r="B36" s="64" t="str">
        <f>IFERROR(
VLOOKUP(A36,PRIORIDAD_UNO[[Nombre del requerimiento]:[Tamaño]],5,FALSE),"")</f>
        <v/>
      </c>
      <c r="C36" s="65"/>
      <c r="D36" s="66" t="str">
        <f>IF(ISBLANK(A36),"",
IFERROR(IF(VLOOKUP($A36,PRIORIDAD_UNO[[Nombre del requerimiento]:[Fin Producción]],6,FALSE)=0,"",VLOOKUP($A36,PRIORIDAD_UNO[[Nombre del requerimiento]:[Fin Producción]],6,FALSE)),"No está en hoja Prioridad 1"))</f>
        <v>No está en hoja Prioridad 1</v>
      </c>
      <c r="E36" s="65" t="str">
        <f>IFERROR(IF(VLOOKUP($A36,PRIORIDAD_UNO[[Nombre del requerimiento]:[Fin Producción]],17,FALSE)=0,"",VLOOKUP($A36,PRIORIDAD_UNO[[Nombre del requerimiento]:[Fin Producción]],17,FALSE)),"")</f>
        <v/>
      </c>
      <c r="F36" s="65"/>
      <c r="G36" s="65" t="str">
        <f>IFERROR(VLOOKUP($A36,PRIORIDAD_UNO[[Nombre del requerimiento]:[Fin Producción]],18,FALSE),"")</f>
        <v/>
      </c>
      <c r="H36" s="65"/>
      <c r="I36" s="65" t="str">
        <f>IFERROR(VLOOKUP($A36,PRIORIDAD_UNO[[Nombre del requerimiento]:[Fin Producción]],19,FALSE),"")</f>
        <v/>
      </c>
      <c r="J36" s="65"/>
      <c r="K36" s="65" t="str">
        <f>IFERROR(VLOOKUP($A36,PRIORIDAD_UNO[[Nombre del requerimiento]:[Fin Producción]],20,FALSE),"")</f>
        <v/>
      </c>
      <c r="L36" s="65"/>
      <c r="M36" s="65" t="str">
        <f>IFERROR(VLOOKUP($A36,PRIORIDAD_UNO[[Nombre del requerimiento]:[Fin Producción]],21,FALSE),"")</f>
        <v/>
      </c>
      <c r="N36" s="65"/>
    </row>
    <row r="37" spans="1:14" ht="28.8">
      <c r="A37" s="62" t="s">
        <v>374</v>
      </c>
      <c r="B37" s="64" t="str">
        <f>IFERROR(
VLOOKUP(A37,PRIORIDAD_UNO[[Nombre del requerimiento]:[Tamaño]],5,FALSE),"")</f>
        <v>Extra Grande</v>
      </c>
      <c r="C37" s="65"/>
      <c r="D37" s="66" t="str">
        <f>IF(ISBLANK(A37),"",
IFERROR(IF(VLOOKUP($A37,PRIORIDAD_UNO[[Nombre del requerimiento]:[Fin Producción]],6,FALSE)=0,"",VLOOKUP($A37,PRIORIDAD_UNO[[Nombre del requerimiento]:[Fin Producción]],6,FALSE)),"No está en hoja Prioridad 1"))</f>
        <v>Productos e Inclusión Financiera</v>
      </c>
      <c r="E37" s="65">
        <f>IFERROR(IF(VLOOKUP($A37,PRIORIDAD_UNO[[Nombre del requerimiento]:[Fin Producción]],17,FALSE)=0,"",VLOOKUP($A37,PRIORIDAD_UNO[[Nombre del requerimiento]:[Fin Producción]],17,FALSE)),"")</f>
        <v>46209</v>
      </c>
      <c r="F37" s="65"/>
      <c r="G37" s="65">
        <f>IFERROR(VLOOKUP($A37,PRIORIDAD_UNO[[Nombre del requerimiento]:[Fin Producción]],18,FALSE),"")</f>
        <v>46436</v>
      </c>
      <c r="H37" s="65"/>
      <c r="I37" s="65">
        <f>IFERROR(VLOOKUP($A37,PRIORIDAD_UNO[[Nombre del requerimiento]:[Fin Producción]],19,FALSE),"")</f>
        <v>46443</v>
      </c>
      <c r="J37" s="65"/>
      <c r="K37" s="65">
        <f>IFERROR(VLOOKUP($A37,PRIORIDAD_UNO[[Nombre del requerimiento]:[Fin Producción]],20,FALSE),"")</f>
        <v>46517</v>
      </c>
      <c r="L37" s="65"/>
      <c r="M37" s="65">
        <f>IFERROR(VLOOKUP($A37,PRIORIDAD_UNO[[Nombre del requerimiento]:[Fin Producción]],21,FALSE),"")</f>
        <v>46524</v>
      </c>
      <c r="N37" s="65"/>
    </row>
    <row r="38" spans="1:14" ht="43.2">
      <c r="A38" s="62" t="s">
        <v>371</v>
      </c>
      <c r="B38" s="64" t="str">
        <f>IFERROR(
VLOOKUP(A38,PRIORIDAD_UNO[[Nombre del requerimiento]:[Tamaño]],5,FALSE),"")</f>
        <v>Mediano</v>
      </c>
      <c r="C38" s="65"/>
      <c r="D38" s="66" t="str">
        <f>IF(ISBLANK(A38),"",
IFERROR(IF(VLOOKUP($A38,PRIORIDAD_UNO[[Nombre del requerimiento]:[Fin Producción]],6,FALSE)=0,"",VLOOKUP($A38,PRIORIDAD_UNO[[Nombre del requerimiento]:[Fin Producción]],6,FALSE)),"No está en hoja Prioridad 1"))</f>
        <v>Finanzas y Tesorería</v>
      </c>
      <c r="E38" s="65">
        <f>IFERROR(IF(VLOOKUP($A38,PRIORIDAD_UNO[[Nombre del requerimiento]:[Fin Producción]],17,FALSE)=0,"",VLOOKUP($A38,PRIORIDAD_UNO[[Nombre del requerimiento]:[Fin Producción]],17,FALSE)),"")</f>
        <v>46237</v>
      </c>
      <c r="F38" s="65"/>
      <c r="G38" s="65">
        <f>IFERROR(VLOOKUP($A38,PRIORIDAD_UNO[[Nombre del requerimiento]:[Fin Producción]],18,FALSE),"")</f>
        <v>46331</v>
      </c>
      <c r="H38" s="65"/>
      <c r="I38" s="65">
        <f>IFERROR(VLOOKUP($A38,PRIORIDAD_UNO[[Nombre del requerimiento]:[Fin Producción]],19,FALSE),"")</f>
        <v>46338</v>
      </c>
      <c r="J38" s="65"/>
      <c r="K38" s="65">
        <f>IFERROR(VLOOKUP($A38,PRIORIDAD_UNO[[Nombre del requerimiento]:[Fin Producción]],20,FALSE),"")</f>
        <v>46400</v>
      </c>
      <c r="L38" s="65"/>
      <c r="M38" s="65">
        <f>IFERROR(VLOOKUP($A38,PRIORIDAD_UNO[[Nombre del requerimiento]:[Fin Producción]],21,FALSE),"")</f>
        <v>46407</v>
      </c>
      <c r="N38" s="65"/>
    </row>
    <row r="39" spans="1:14" ht="28.8">
      <c r="A39" s="62" t="s">
        <v>369</v>
      </c>
      <c r="B39" s="64" t="str">
        <f>IFERROR(
VLOOKUP(A39,PRIORIDAD_UNO[[Nombre del requerimiento]:[Tamaño]],5,FALSE),"")</f>
        <v>Mediano</v>
      </c>
      <c r="C39" s="65"/>
      <c r="D39" s="66" t="str">
        <f>IF(ISBLANK(A39),"",
IFERROR(IF(VLOOKUP($A39,PRIORIDAD_UNO[[Nombre del requerimiento]:[Fin Producción]],6,FALSE)=0,"",VLOOKUP($A39,PRIORIDAD_UNO[[Nombre del requerimiento]:[Fin Producción]],6,FALSE)),"No está en hoja Prioridad 1"))</f>
        <v>Operaciones</v>
      </c>
      <c r="E39" s="65">
        <f>IFERROR(IF(VLOOKUP($A39,PRIORIDAD_UNO[[Nombre del requerimiento]:[Fin Producción]],17,FALSE)=0,"",VLOOKUP($A39,PRIORIDAD_UNO[[Nombre del requerimiento]:[Fin Producción]],17,FALSE)),"")</f>
        <v>46636</v>
      </c>
      <c r="F39" s="65"/>
      <c r="G39" s="65">
        <f>IFERROR(VLOOKUP($A39,PRIORIDAD_UNO[[Nombre del requerimiento]:[Fin Producción]],18,FALSE),"")</f>
        <v>46730</v>
      </c>
      <c r="H39" s="65"/>
      <c r="I39" s="65">
        <f>IFERROR(VLOOKUP($A39,PRIORIDAD_UNO[[Nombre del requerimiento]:[Fin Producción]],19,FALSE),"")</f>
        <v>46741</v>
      </c>
      <c r="J39" s="65"/>
      <c r="K39" s="65">
        <f>IFERROR(VLOOKUP($A39,PRIORIDAD_UNO[[Nombre del requerimiento]:[Fin Producción]],20,FALSE),"")</f>
        <v>46797</v>
      </c>
      <c r="L39" s="65"/>
      <c r="M39" s="65">
        <f>IFERROR(VLOOKUP($A39,PRIORIDAD_UNO[[Nombre del requerimiento]:[Fin Producción]],21,FALSE),"")</f>
        <v>46804</v>
      </c>
      <c r="N39" s="65"/>
    </row>
    <row r="40" spans="1:14" ht="72">
      <c r="A40" s="62" t="s">
        <v>366</v>
      </c>
      <c r="B40" s="64" t="str">
        <f>IFERROR(
VLOOKUP(A40,PRIORIDAD_UNO[[Nombre del requerimiento]:[Tamaño]],5,FALSE),"")</f>
        <v>Grande</v>
      </c>
      <c r="C40" s="65"/>
      <c r="D40" s="66" t="str">
        <f>IF(ISBLANK(A40),"",
IFERROR(IF(VLOOKUP($A40,PRIORIDAD_UNO[[Nombre del requerimiento]:[Fin Producción]],6,FALSE)=0,"",VLOOKUP($A40,PRIORIDAD_UNO[[Nombre del requerimiento]:[Fin Producción]],6,FALSE)),"No está en hoja Prioridad 1"))</f>
        <v>Operaciones</v>
      </c>
      <c r="E40" s="65">
        <f>IFERROR(IF(VLOOKUP($A40,PRIORIDAD_UNO[[Nombre del requerimiento]:[Fin Producción]],17,FALSE)=0,"",VLOOKUP($A40,PRIORIDAD_UNO[[Nombre del requerimiento]:[Fin Producción]],17,FALSE)),"")</f>
        <v>46237</v>
      </c>
      <c r="F40" s="65"/>
      <c r="G40" s="65">
        <f>IFERROR(VLOOKUP($A40,PRIORIDAD_UNO[[Nombre del requerimiento]:[Fin Producción]],18,FALSE),"")</f>
        <v>46399</v>
      </c>
      <c r="H40" s="65"/>
      <c r="I40" s="65">
        <f>IFERROR(VLOOKUP($A40,PRIORIDAD_UNO[[Nombre del requerimiento]:[Fin Producción]],19,FALSE),"")</f>
        <v>46406</v>
      </c>
      <c r="J40" s="65"/>
      <c r="K40" s="65">
        <f>IFERROR(VLOOKUP($A40,PRIORIDAD_UNO[[Nombre del requerimiento]:[Fin Producción]],20,FALSE),"")</f>
        <v>46478</v>
      </c>
      <c r="L40" s="65"/>
      <c r="M40" s="65">
        <f>IFERROR(VLOOKUP($A40,PRIORIDAD_UNO[[Nombre del requerimiento]:[Fin Producción]],21,FALSE),"")</f>
        <v>46485</v>
      </c>
      <c r="N40" s="65"/>
    </row>
    <row r="41" spans="1:14" ht="86.4">
      <c r="A41" s="62" t="s">
        <v>365</v>
      </c>
      <c r="B41" s="64" t="str">
        <f>IFERROR(
VLOOKUP(A41,PRIORIDAD_UNO[[Nombre del requerimiento]:[Tamaño]],5,FALSE),"")</f>
        <v>Pequeño</v>
      </c>
      <c r="C41" s="65"/>
      <c r="D41" s="66" t="str">
        <f>IF(ISBLANK(A41),"",
IFERROR(IF(VLOOKUP($A41,PRIORIDAD_UNO[[Nombre del requerimiento]:[Fin Producción]],6,FALSE)=0,"",VLOOKUP($A41,PRIORIDAD_UNO[[Nombre del requerimiento]:[Fin Producción]],6,FALSE)),"No está en hoja Prioridad 1"))</f>
        <v>Banca Digital</v>
      </c>
      <c r="E41" s="65">
        <f>IFERROR(IF(VLOOKUP($A41,PRIORIDAD_UNO[[Nombre del requerimiento]:[Fin Producción]],17,FALSE)=0,"",VLOOKUP($A41,PRIORIDAD_UNO[[Nombre del requerimiento]:[Fin Producción]],17,FALSE)),"")</f>
        <v>46209</v>
      </c>
      <c r="F41" s="65"/>
      <c r="G41" s="65">
        <f>IFERROR(VLOOKUP($A41,PRIORIDAD_UNO[[Nombre del requerimiento]:[Fin Producción]],18,FALSE),"")</f>
        <v>46255</v>
      </c>
      <c r="H41" s="65"/>
      <c r="I41" s="65">
        <f>IFERROR(VLOOKUP($A41,PRIORIDAD_UNO[[Nombre del requerimiento]:[Fin Producción]],19,FALSE),"")</f>
        <v>46262</v>
      </c>
      <c r="J41" s="65"/>
      <c r="K41" s="65">
        <f>IFERROR(VLOOKUP($A41,PRIORIDAD_UNO[[Nombre del requerimiento]:[Fin Producción]],20,FALSE),"")</f>
        <v>46307</v>
      </c>
      <c r="L41" s="65"/>
      <c r="M41" s="65">
        <f>IFERROR(VLOOKUP($A41,PRIORIDAD_UNO[[Nombre del requerimiento]:[Fin Producción]],21,FALSE),"")</f>
        <v>46314</v>
      </c>
      <c r="N41" s="65"/>
    </row>
    <row r="42" spans="1:14" ht="43.2">
      <c r="A42" s="62" t="s">
        <v>364</v>
      </c>
      <c r="B42" s="64" t="str">
        <f>IFERROR(
VLOOKUP(A42,PRIORIDAD_UNO[[Nombre del requerimiento]:[Tamaño]],5,FALSE),"")</f>
        <v>Mediano</v>
      </c>
      <c r="C42" s="65"/>
      <c r="D42" s="66" t="str">
        <f>IF(ISBLANK(A42),"",
IFERROR(IF(VLOOKUP($A42,PRIORIDAD_UNO[[Nombre del requerimiento]:[Fin Producción]],6,FALSE)=0,"",VLOOKUP($A42,PRIORIDAD_UNO[[Nombre del requerimiento]:[Fin Producción]],6,FALSE)),"No está en hoja Prioridad 1"))</f>
        <v>Productos e Inclusión Financiera</v>
      </c>
      <c r="E42" s="65">
        <f>IFERROR(IF(VLOOKUP($A42,PRIORIDAD_UNO[[Nombre del requerimiento]:[Fin Producción]],17,FALSE)=0,"",VLOOKUP($A42,PRIORIDAD_UNO[[Nombre del requerimiento]:[Fin Producción]],17,FALSE)),"")</f>
        <v>46237</v>
      </c>
      <c r="F42" s="65"/>
      <c r="G42" s="65">
        <f>IFERROR(VLOOKUP($A42,PRIORIDAD_UNO[[Nombre del requerimiento]:[Fin Producción]],18,FALSE),"")</f>
        <v>46331</v>
      </c>
      <c r="H42" s="65"/>
      <c r="I42" s="65">
        <f>IFERROR(VLOOKUP($A42,PRIORIDAD_UNO[[Nombre del requerimiento]:[Fin Producción]],19,FALSE),"")</f>
        <v>46338</v>
      </c>
      <c r="J42" s="65"/>
      <c r="K42" s="65">
        <f>IFERROR(VLOOKUP($A42,PRIORIDAD_UNO[[Nombre del requerimiento]:[Fin Producción]],20,FALSE),"")</f>
        <v>46400</v>
      </c>
      <c r="L42" s="65"/>
      <c r="M42" s="65">
        <f>IFERROR(VLOOKUP($A42,PRIORIDAD_UNO[[Nombre del requerimiento]:[Fin Producción]],21,FALSE),"")</f>
        <v>46407</v>
      </c>
      <c r="N42" s="65"/>
    </row>
    <row r="43" spans="1:14" ht="57.6">
      <c r="A43" s="62" t="s">
        <v>360</v>
      </c>
      <c r="B43" s="64" t="str">
        <f>IFERROR(
VLOOKUP(A43,PRIORIDAD_UNO[[Nombre del requerimiento]:[Tamaño]],5,FALSE),"")</f>
        <v>Mediano</v>
      </c>
      <c r="C43" s="65"/>
      <c r="D43" s="66" t="str">
        <f>IF(ISBLANK(A43),"",
IFERROR(IF(VLOOKUP($A43,PRIORIDAD_UNO[[Nombre del requerimiento]:[Fin Producción]],6,FALSE)=0,"",VLOOKUP($A43,PRIORIDAD_UNO[[Nombre del requerimiento]:[Fin Producción]],6,FALSE)),"No está en hoja Prioridad 1"))</f>
        <v>Productos e Inclusión Financiera</v>
      </c>
      <c r="E43" s="65" t="str">
        <f>IFERROR(IF(VLOOKUP($A43,PRIORIDAD_UNO[[Nombre del requerimiento]:[Fin Producción]],17,FALSE)=0,"",VLOOKUP($A43,PRIORIDAD_UNO[[Nombre del requerimiento]:[Fin Producción]],17,FALSE)),"")</f>
        <v/>
      </c>
      <c r="F43" s="65"/>
      <c r="G43" s="65" t="str">
        <f>IFERROR(VLOOKUP($A43,PRIORIDAD_UNO[[Nombre del requerimiento]:[Fin Producción]],18,FALSE),"")</f>
        <v/>
      </c>
      <c r="H43" s="65"/>
      <c r="I43" s="65" t="str">
        <f>IFERROR(VLOOKUP($A43,PRIORIDAD_UNO[[Nombre del requerimiento]:[Fin Producción]],19,FALSE),"")</f>
        <v/>
      </c>
      <c r="J43" s="65"/>
      <c r="K43" s="65" t="str">
        <f>IFERROR(VLOOKUP($A43,PRIORIDAD_UNO[[Nombre del requerimiento]:[Fin Producción]],20,FALSE),"")</f>
        <v/>
      </c>
      <c r="L43" s="65"/>
      <c r="M43" s="65" t="str">
        <f>IFERROR(VLOOKUP($A43,PRIORIDAD_UNO[[Nombre del requerimiento]:[Fin Producción]],21,FALSE),"")</f>
        <v/>
      </c>
      <c r="N43" s="65"/>
    </row>
    <row r="44" spans="1:14" ht="57.6">
      <c r="A44" s="62" t="s">
        <v>357</v>
      </c>
      <c r="B44" s="64" t="str">
        <f>IFERROR(
VLOOKUP(A44,PRIORIDAD_UNO[[Nombre del requerimiento]:[Tamaño]],5,FALSE),"")</f>
        <v>Extra Grande</v>
      </c>
      <c r="C44" s="65"/>
      <c r="D44" s="66" t="str">
        <f>IF(ISBLANK(A44),"",
IFERROR(IF(VLOOKUP($A44,PRIORIDAD_UNO[[Nombre del requerimiento]:[Fin Producción]],6,FALSE)=0,"",VLOOKUP($A44,PRIORIDAD_UNO[[Nombre del requerimiento]:[Fin Producción]],6,FALSE)),"No está en hoja Prioridad 1"))</f>
        <v>Operaciones</v>
      </c>
      <c r="E44" s="65">
        <f>IFERROR(IF(VLOOKUP($A44,PRIORIDAD_UNO[[Nombre del requerimiento]:[Fin Producción]],17,FALSE)=0,"",VLOOKUP($A44,PRIORIDAD_UNO[[Nombre del requerimiento]:[Fin Producción]],17,FALSE)),"")</f>
        <v>46237</v>
      </c>
      <c r="F44" s="65"/>
      <c r="G44" s="65">
        <f>IFERROR(VLOOKUP($A44,PRIORIDAD_UNO[[Nombre del requerimiento]:[Fin Producción]],18,FALSE),"")</f>
        <v>46461</v>
      </c>
      <c r="H44" s="65"/>
      <c r="I44" s="65">
        <f>IFERROR(VLOOKUP($A44,PRIORIDAD_UNO[[Nombre del requerimiento]:[Fin Producción]],19,FALSE),"")</f>
        <v>46468</v>
      </c>
      <c r="J44" s="65"/>
      <c r="K44" s="65">
        <f>IFERROR(VLOOKUP($A44,PRIORIDAD_UNO[[Nombre del requerimiento]:[Fin Producción]],20,FALSE),"")</f>
        <v>46540</v>
      </c>
      <c r="L44" s="65"/>
      <c r="M44" s="65">
        <f>IFERROR(VLOOKUP($A44,PRIORIDAD_UNO[[Nombre del requerimiento]:[Fin Producción]],21,FALSE),"")</f>
        <v>46548</v>
      </c>
      <c r="N44" s="65"/>
    </row>
    <row r="45" spans="1:14" ht="100.8">
      <c r="A45" s="62" t="s">
        <v>354</v>
      </c>
      <c r="B45" s="64" t="str">
        <f>IFERROR(
VLOOKUP(A45,PRIORIDAD_UNO[[Nombre del requerimiento]:[Tamaño]],5,FALSE),"")</f>
        <v>Mediano</v>
      </c>
      <c r="C45" s="65"/>
      <c r="D45" s="66" t="str">
        <f>IF(ISBLANK(A45),"",
IFERROR(IF(VLOOKUP($A45,PRIORIDAD_UNO[[Nombre del requerimiento]:[Fin Producción]],6,FALSE)=0,"",VLOOKUP($A45,PRIORIDAD_UNO[[Nombre del requerimiento]:[Fin Producción]],6,FALSE)),"No está en hoja Prioridad 1"))</f>
        <v>Operaciones</v>
      </c>
      <c r="E45" s="65">
        <f>IFERROR(IF(VLOOKUP($A45,PRIORIDAD_UNO[[Nombre del requerimiento]:[Fin Producción]],17,FALSE)=0,"",VLOOKUP($A45,PRIORIDAD_UNO[[Nombre del requerimiento]:[Fin Producción]],17,FALSE)),"")</f>
        <v>46251</v>
      </c>
      <c r="F45" s="65"/>
      <c r="G45" s="65">
        <f>IFERROR(VLOOKUP($A45,PRIORIDAD_UNO[[Nombre del requerimiento]:[Fin Producción]],18,FALSE),"")</f>
        <v>46344</v>
      </c>
      <c r="H45" s="65"/>
      <c r="I45" s="65">
        <f>IFERROR(VLOOKUP($A45,PRIORIDAD_UNO[[Nombre del requerimiento]:[Fin Producción]],19,FALSE),"")</f>
        <v>46351</v>
      </c>
      <c r="J45" s="65"/>
      <c r="K45" s="65">
        <f>IFERROR(VLOOKUP($A45,PRIORIDAD_UNO[[Nombre del requerimiento]:[Fin Producción]],20,FALSE),"")</f>
        <v>46413</v>
      </c>
      <c r="L45" s="65"/>
      <c r="M45" s="65">
        <f>IFERROR(VLOOKUP($A45,PRIORIDAD_UNO[[Nombre del requerimiento]:[Fin Producción]],21,FALSE),"")</f>
        <v>46420</v>
      </c>
      <c r="N45" s="65"/>
    </row>
    <row r="46" spans="1:14" ht="100.8">
      <c r="A46" s="62" t="s">
        <v>351</v>
      </c>
      <c r="B46" s="64" t="str">
        <f>IFERROR(
VLOOKUP(A46,PRIORIDAD_UNO[[Nombre del requerimiento]:[Tamaño]],5,FALSE),"")</f>
        <v>Mediano</v>
      </c>
      <c r="C46" s="65"/>
      <c r="D46" s="66" t="str">
        <f>IF(ISBLANK(A46),"",
IFERROR(IF(VLOOKUP($A46,PRIORIDAD_UNO[[Nombre del requerimiento]:[Fin Producción]],6,FALSE)=0,"",VLOOKUP($A46,PRIORIDAD_UNO[[Nombre del requerimiento]:[Fin Producción]],6,FALSE)),"No está en hoja Prioridad 1"))</f>
        <v>Operaciones</v>
      </c>
      <c r="E46" s="65">
        <f>IFERROR(IF(VLOOKUP($A46,PRIORIDAD_UNO[[Nombre del requerimiento]:[Fin Producción]],17,FALSE)=0,"",VLOOKUP($A46,PRIORIDAD_UNO[[Nombre del requerimiento]:[Fin Producción]],17,FALSE)),"")</f>
        <v>46237</v>
      </c>
      <c r="F46" s="65"/>
      <c r="G46" s="65">
        <f>IFERROR(VLOOKUP($A46,PRIORIDAD_UNO[[Nombre del requerimiento]:[Fin Producción]],18,FALSE),"")</f>
        <v>46331</v>
      </c>
      <c r="H46" s="65"/>
      <c r="I46" s="65">
        <f>IFERROR(VLOOKUP($A46,PRIORIDAD_UNO[[Nombre del requerimiento]:[Fin Producción]],19,FALSE),"")</f>
        <v>46338</v>
      </c>
      <c r="J46" s="65"/>
      <c r="K46" s="65">
        <f>IFERROR(VLOOKUP($A46,PRIORIDAD_UNO[[Nombre del requerimiento]:[Fin Producción]],20,FALSE),"")</f>
        <v>46400</v>
      </c>
      <c r="L46" s="65"/>
      <c r="M46" s="65">
        <f>IFERROR(VLOOKUP($A46,PRIORIDAD_UNO[[Nombre del requerimiento]:[Fin Producción]],21,FALSE),"")</f>
        <v>46407</v>
      </c>
      <c r="N46" s="65"/>
    </row>
    <row r="47" spans="1:14" ht="43.2">
      <c r="A47" s="62" t="s">
        <v>350</v>
      </c>
      <c r="B47" s="64" t="str">
        <f>IFERROR(
VLOOKUP(A47,PRIORIDAD_UNO[[Nombre del requerimiento]:[Tamaño]],5,FALSE),"")</f>
        <v>Pequeño</v>
      </c>
      <c r="C47" s="65"/>
      <c r="D47" s="66" t="str">
        <f>IF(ISBLANK(A47),"",
IFERROR(IF(VLOOKUP($A47,PRIORIDAD_UNO[[Nombre del requerimiento]:[Fin Producción]],6,FALSE)=0,"",VLOOKUP($A47,PRIORIDAD_UNO[[Nombre del requerimiento]:[Fin Producción]],6,FALSE)),"No está en hoja Prioridad 1"))</f>
        <v>Banca Digital</v>
      </c>
      <c r="E47" s="65">
        <f>IFERROR(IF(VLOOKUP($A47,PRIORIDAD_UNO[[Nombre del requerimiento]:[Fin Producción]],17,FALSE)=0,"",VLOOKUP($A47,PRIORIDAD_UNO[[Nombre del requerimiento]:[Fin Producción]],17,FALSE)),"")</f>
        <v>46209</v>
      </c>
      <c r="F47" s="65"/>
      <c r="G47" s="65">
        <f>IFERROR(VLOOKUP($A47,PRIORIDAD_UNO[[Nombre del requerimiento]:[Fin Producción]],18,FALSE),"")</f>
        <v>46255</v>
      </c>
      <c r="H47" s="65"/>
      <c r="I47" s="65">
        <f>IFERROR(VLOOKUP($A47,PRIORIDAD_UNO[[Nombre del requerimiento]:[Fin Producción]],19,FALSE),"")</f>
        <v>46262</v>
      </c>
      <c r="J47" s="65"/>
      <c r="K47" s="65">
        <f>IFERROR(VLOOKUP($A47,PRIORIDAD_UNO[[Nombre del requerimiento]:[Fin Producción]],20,FALSE),"")</f>
        <v>46307</v>
      </c>
      <c r="L47" s="65"/>
      <c r="M47" s="65">
        <f>IFERROR(VLOOKUP($A47,PRIORIDAD_UNO[[Nombre del requerimiento]:[Fin Producción]],21,FALSE),"")</f>
        <v>46314</v>
      </c>
      <c r="N47" s="65"/>
    </row>
    <row r="48" spans="1:14" ht="43.2">
      <c r="A48" s="62" t="s">
        <v>347</v>
      </c>
      <c r="B48" s="64" t="str">
        <f>IFERROR(
VLOOKUP(A48,PRIORIDAD_UNO[[Nombre del requerimiento]:[Tamaño]],5,FALSE),"")</f>
        <v>Grande</v>
      </c>
      <c r="C48" s="65"/>
      <c r="D48" s="66" t="str">
        <f>IF(ISBLANK(A48),"",
IFERROR(IF(VLOOKUP($A48,PRIORIDAD_UNO[[Nombre del requerimiento]:[Fin Producción]],6,FALSE)=0,"",VLOOKUP($A48,PRIORIDAD_UNO[[Nombre del requerimiento]:[Fin Producción]],6,FALSE)),"No está en hoja Prioridad 1"))</f>
        <v>Banca Digital</v>
      </c>
      <c r="E48" s="65">
        <f>IFERROR(IF(VLOOKUP($A48,PRIORIDAD_UNO[[Nombre del requerimiento]:[Fin Producción]],17,FALSE)=0,"",VLOOKUP($A48,PRIORIDAD_UNO[[Nombre del requerimiento]:[Fin Producción]],17,FALSE)),"")</f>
        <v>46249</v>
      </c>
      <c r="F48" s="65"/>
      <c r="G48" s="65">
        <f>IFERROR(VLOOKUP($A48,PRIORIDAD_UNO[[Nombre del requerimiento]:[Fin Producción]],18,FALSE),"")</f>
        <v>46409</v>
      </c>
      <c r="H48" s="65"/>
      <c r="I48" s="65">
        <f>IFERROR(VLOOKUP($A48,PRIORIDAD_UNO[[Nombre del requerimiento]:[Fin Producción]],19,FALSE),"")</f>
        <v>46416</v>
      </c>
      <c r="J48" s="65"/>
      <c r="K48" s="65">
        <f>IFERROR(VLOOKUP($A48,PRIORIDAD_UNO[[Nombre del requerimiento]:[Fin Producción]],20,FALSE),"")</f>
        <v>46490</v>
      </c>
      <c r="L48" s="65"/>
      <c r="M48" s="65">
        <f>IFERROR(VLOOKUP($A48,PRIORIDAD_UNO[[Nombre del requerimiento]:[Fin Producción]],21,FALSE),"")</f>
        <v>46497</v>
      </c>
      <c r="N48" s="65"/>
    </row>
    <row r="49" spans="1:14" ht="28.8">
      <c r="A49" s="62" t="s">
        <v>346</v>
      </c>
      <c r="B49" s="64" t="str">
        <f>IFERROR(
VLOOKUP(A49,PRIORIDAD_UNO[[Nombre del requerimiento]:[Tamaño]],5,FALSE),"")</f>
        <v>Mediano</v>
      </c>
      <c r="C49" s="65"/>
      <c r="D49" s="66" t="str">
        <f>IF(ISBLANK(A49),"",
IFERROR(IF(VLOOKUP($A49,PRIORIDAD_UNO[[Nombre del requerimiento]:[Fin Producción]],6,FALSE)=0,"",VLOOKUP($A49,PRIORIDAD_UNO[[Nombre del requerimiento]:[Fin Producción]],6,FALSE)),"No está en hoja Prioridad 1"))</f>
        <v>Productos e Inclusión Financiera</v>
      </c>
      <c r="E49" s="65">
        <f>IFERROR(IF(VLOOKUP($A49,PRIORIDAD_UNO[[Nombre del requerimiento]:[Fin Producción]],17,FALSE)=0,"",VLOOKUP($A49,PRIORIDAD_UNO[[Nombre del requerimiento]:[Fin Producción]],17,FALSE)),"")</f>
        <v>46329</v>
      </c>
      <c r="F49" s="65"/>
      <c r="G49" s="65">
        <f>IFERROR(VLOOKUP($A49,PRIORIDAD_UNO[[Nombre del requerimiento]:[Fin Producción]],18,FALSE),"")</f>
        <v>46427</v>
      </c>
      <c r="H49" s="65"/>
      <c r="I49" s="65">
        <f>IFERROR(VLOOKUP($A49,PRIORIDAD_UNO[[Nombre del requerimiento]:[Fin Producción]],19,FALSE),"")</f>
        <v>46434</v>
      </c>
      <c r="J49" s="65"/>
      <c r="K49" s="65">
        <f>IFERROR(VLOOKUP($A49,PRIORIDAD_UNO[[Nombre del requerimiento]:[Fin Producción]],20,FALSE),"")</f>
        <v>46492</v>
      </c>
      <c r="L49" s="65"/>
      <c r="M49" s="65">
        <f>IFERROR(VLOOKUP($A49,PRIORIDAD_UNO[[Nombre del requerimiento]:[Fin Producción]],21,FALSE),"")</f>
        <v>46499</v>
      </c>
      <c r="N49" s="65"/>
    </row>
    <row r="50" spans="1:14" ht="28.8">
      <c r="A50" s="63" t="s">
        <v>464</v>
      </c>
      <c r="B50" s="64" t="str">
        <f>IFERROR(
VLOOKUP(A50,PRIORIDAD_UNO[[Nombre del requerimiento]:[Tamaño]],5,FALSE),"")</f>
        <v/>
      </c>
      <c r="C50" s="65"/>
      <c r="D50" s="66" t="str">
        <f>IF(ISBLANK(A50),"",
IFERROR(IF(VLOOKUP($A50,PRIORIDAD_UNO[[Nombre del requerimiento]:[Fin Producción]],6,FALSE)=0,"",VLOOKUP($A50,PRIORIDAD_UNO[[Nombre del requerimiento]:[Fin Producción]],6,FALSE)),"No está en hoja Prioridad 1"))</f>
        <v>No está en hoja Prioridad 1</v>
      </c>
      <c r="E50" s="65" t="str">
        <f>IFERROR(IF(VLOOKUP($A50,PRIORIDAD_UNO[[Nombre del requerimiento]:[Fin Producción]],17,FALSE)=0,"",VLOOKUP($A50,PRIORIDAD_UNO[[Nombre del requerimiento]:[Fin Producción]],17,FALSE)),"")</f>
        <v/>
      </c>
      <c r="F50" s="65">
        <v>46363</v>
      </c>
      <c r="G50" s="65" t="str">
        <f>IFERROR(VLOOKUP($A50,PRIORIDAD_UNO[[Nombre del requerimiento]:[Fin Producción]],18,FALSE),"")</f>
        <v/>
      </c>
      <c r="H50" s="65">
        <v>46364</v>
      </c>
      <c r="I50" s="65" t="str">
        <f>IFERROR(VLOOKUP($A50,PRIORIDAD_UNO[[Nombre del requerimiento]:[Fin Producción]],19,FALSE),"")</f>
        <v/>
      </c>
      <c r="J50" s="65">
        <v>46454</v>
      </c>
      <c r="K50" s="65" t="str">
        <f>IFERROR(VLOOKUP($A50,PRIORIDAD_UNO[[Nombre del requerimiento]:[Fin Producción]],20,FALSE),"")</f>
        <v/>
      </c>
      <c r="L50" s="65">
        <v>46455</v>
      </c>
      <c r="M50" s="65" t="str">
        <f>IFERROR(VLOOKUP($A50,PRIORIDAD_UNO[[Nombre del requerimiento]:[Fin Producción]],21,FALSE),"")</f>
        <v/>
      </c>
      <c r="N50" s="65">
        <v>46486</v>
      </c>
    </row>
    <row r="51" spans="1:14" ht="100.8">
      <c r="A51" s="62" t="s">
        <v>344</v>
      </c>
      <c r="B51" s="64" t="str">
        <f>IFERROR(
VLOOKUP(A51,PRIORIDAD_UNO[[Nombre del requerimiento]:[Tamaño]],5,FALSE),"")</f>
        <v>Mediano</v>
      </c>
      <c r="C51" s="65"/>
      <c r="D51" s="66" t="str">
        <f>IF(ISBLANK(A51),"",
IFERROR(IF(VLOOKUP($A51,PRIORIDAD_UNO[[Nombre del requerimiento]:[Fin Producción]],6,FALSE)=0,"",VLOOKUP($A51,PRIORIDAD_UNO[[Nombre del requerimiento]:[Fin Producción]],6,FALSE)),"No está en hoja Prioridad 1"))</f>
        <v>Operaciones</v>
      </c>
      <c r="E51" s="65">
        <f>IFERROR(IF(VLOOKUP($A51,PRIORIDAD_UNO[[Nombre del requerimiento]:[Fin Producción]],17,FALSE)=0,"",VLOOKUP($A51,PRIORIDAD_UNO[[Nombre del requerimiento]:[Fin Producción]],17,FALSE)),"")</f>
        <v>46188</v>
      </c>
      <c r="F51" s="65"/>
      <c r="G51" s="65">
        <f>IFERROR(VLOOKUP($A51,PRIORIDAD_UNO[[Nombre del requerimiento]:[Fin Producción]],18,FALSE),"")</f>
        <v>46287</v>
      </c>
      <c r="H51" s="65"/>
      <c r="I51" s="65">
        <f>IFERROR(VLOOKUP($A51,PRIORIDAD_UNO[[Nombre del requerimiento]:[Fin Producción]],19,FALSE),"")</f>
        <v>46294</v>
      </c>
      <c r="J51" s="65"/>
      <c r="K51" s="65">
        <f>IFERROR(VLOOKUP($A51,PRIORIDAD_UNO[[Nombre del requerimiento]:[Fin Producción]],20,FALSE),"")</f>
        <v>46351</v>
      </c>
      <c r="L51" s="65"/>
      <c r="M51" s="65">
        <f>IFERROR(VLOOKUP($A51,PRIORIDAD_UNO[[Nombre del requerimiento]:[Fin Producción]],21,FALSE),"")</f>
        <v>46358</v>
      </c>
      <c r="N51" s="65"/>
    </row>
    <row r="52" spans="1:14" ht="72">
      <c r="A52" s="62" t="s">
        <v>342</v>
      </c>
      <c r="B52" s="64" t="str">
        <f>IFERROR(
VLOOKUP(A52,PRIORIDAD_UNO[[Nombre del requerimiento]:[Tamaño]],5,FALSE),"")</f>
        <v>Mediano</v>
      </c>
      <c r="C52" s="65"/>
      <c r="D52" s="66" t="str">
        <f>IF(ISBLANK(A52),"",
IFERROR(IF(VLOOKUP($A52,PRIORIDAD_UNO[[Nombre del requerimiento]:[Fin Producción]],6,FALSE)=0,"",VLOOKUP($A52,PRIORIDAD_UNO[[Nombre del requerimiento]:[Fin Producción]],6,FALSE)),"No está en hoja Prioridad 1"))</f>
        <v>Operaciones</v>
      </c>
      <c r="E52" s="65">
        <f>IFERROR(IF(VLOOKUP($A52,PRIORIDAD_UNO[[Nombre del requerimiento]:[Fin Producción]],17,FALSE)=0,"",VLOOKUP($A52,PRIORIDAD_UNO[[Nombre del requerimiento]:[Fin Producción]],17,FALSE)),"")</f>
        <v>46251</v>
      </c>
      <c r="F52" s="65"/>
      <c r="G52" s="65">
        <f>IFERROR(VLOOKUP($A52,PRIORIDAD_UNO[[Nombre del requerimiento]:[Fin Producción]],18,FALSE),"")</f>
        <v>46344</v>
      </c>
      <c r="H52" s="65"/>
      <c r="I52" s="65">
        <f>IFERROR(VLOOKUP($A52,PRIORIDAD_UNO[[Nombre del requerimiento]:[Fin Producción]],19,FALSE),"")</f>
        <v>46351</v>
      </c>
      <c r="J52" s="65"/>
      <c r="K52" s="65">
        <f>IFERROR(VLOOKUP($A52,PRIORIDAD_UNO[[Nombre del requerimiento]:[Fin Producción]],20,FALSE),"")</f>
        <v>46413</v>
      </c>
      <c r="L52" s="65"/>
      <c r="M52" s="65">
        <f>IFERROR(VLOOKUP($A52,PRIORIDAD_UNO[[Nombre del requerimiento]:[Fin Producción]],21,FALSE),"")</f>
        <v>46420</v>
      </c>
      <c r="N52" s="65"/>
    </row>
    <row r="53" spans="1:14" ht="28.8">
      <c r="A53" s="62" t="s">
        <v>341</v>
      </c>
      <c r="B53" s="64" t="str">
        <f>IFERROR(
VLOOKUP(A53,PRIORIDAD_UNO[[Nombre del requerimiento]:[Tamaño]],5,FALSE),"")</f>
        <v>Pequeño</v>
      </c>
      <c r="C53" s="65"/>
      <c r="D53" s="66" t="str">
        <f>IF(ISBLANK(A53),"",
IFERROR(IF(VLOOKUP($A53,PRIORIDAD_UNO[[Nombre del requerimiento]:[Fin Producción]],6,FALSE)=0,"",VLOOKUP($A53,PRIORIDAD_UNO[[Nombre del requerimiento]:[Fin Producción]],6,FALSE)),"No está en hoja Prioridad 1"))</f>
        <v>Productos e Inclusión Financiera</v>
      </c>
      <c r="E53" s="65">
        <f>IFERROR(IF(VLOOKUP($A53,PRIORIDAD_UNO[[Nombre del requerimiento]:[Fin Producción]],17,FALSE)=0,"",VLOOKUP($A53,PRIORIDAD_UNO[[Nombre del requerimiento]:[Fin Producción]],17,FALSE)),"")</f>
        <v>46204</v>
      </c>
      <c r="F53" s="65"/>
      <c r="G53" s="65">
        <f>IFERROR(VLOOKUP($A53,PRIORIDAD_UNO[[Nombre del requerimiento]:[Fin Producción]],18,FALSE),"")</f>
        <v>46252</v>
      </c>
      <c r="H53" s="65"/>
      <c r="I53" s="65">
        <f>IFERROR(VLOOKUP($A53,PRIORIDAD_UNO[[Nombre del requerimiento]:[Fin Producción]],19,FALSE),"")</f>
        <v>46259</v>
      </c>
      <c r="J53" s="65"/>
      <c r="K53" s="65">
        <f>IFERROR(VLOOKUP($A53,PRIORIDAD_UNO[[Nombre del requerimiento]:[Fin Producción]],20,FALSE),"")</f>
        <v>46301</v>
      </c>
      <c r="L53" s="65"/>
      <c r="M53" s="65">
        <f>IFERROR(VLOOKUP($A53,PRIORIDAD_UNO[[Nombre del requerimiento]:[Fin Producción]],21,FALSE),"")</f>
        <v>46309</v>
      </c>
      <c r="N53" s="65"/>
    </row>
    <row r="54" spans="1:14" ht="57.6">
      <c r="A54" s="62" t="s">
        <v>337</v>
      </c>
      <c r="B54" s="64" t="str">
        <f>IFERROR(
VLOOKUP(A54,PRIORIDAD_UNO[[Nombre del requerimiento]:[Tamaño]],5,FALSE),"")</f>
        <v>Mediano</v>
      </c>
      <c r="C54" s="65"/>
      <c r="D54" s="66" t="str">
        <f>IF(ISBLANK(A54),"",
IFERROR(IF(VLOOKUP($A54,PRIORIDAD_UNO[[Nombre del requerimiento]:[Fin Producción]],6,FALSE)=0,"",VLOOKUP($A54,PRIORIDAD_UNO[[Nombre del requerimiento]:[Fin Producción]],6,FALSE)),"No está en hoja Prioridad 1"))</f>
        <v>Operaciones</v>
      </c>
      <c r="E54" s="65">
        <f>IFERROR(IF(VLOOKUP($A54,PRIORIDAD_UNO[[Nombre del requerimiento]:[Fin Producción]],17,FALSE)=0,"",VLOOKUP($A54,PRIORIDAD_UNO[[Nombre del requerimiento]:[Fin Producción]],17,FALSE)),"")</f>
        <v>46300</v>
      </c>
      <c r="F54" s="65"/>
      <c r="G54" s="65"/>
      <c r="H54" s="65"/>
      <c r="I54" s="65"/>
      <c r="J54" s="65"/>
      <c r="K54" s="65"/>
      <c r="L54" s="65"/>
      <c r="M54" s="65"/>
      <c r="N54" s="65"/>
    </row>
    <row r="55" spans="1:14" ht="72">
      <c r="A55" s="62" t="s">
        <v>334</v>
      </c>
      <c r="B55" s="64" t="str">
        <f>IFERROR(
VLOOKUP(A55,PRIORIDAD_UNO[[Nombre del requerimiento]:[Tamaño]],5,FALSE),"")</f>
        <v>Mediano</v>
      </c>
      <c r="C55" s="65"/>
      <c r="D55" s="66" t="str">
        <f>IF(ISBLANK(A55),"",
IFERROR(IF(VLOOKUP($A55,PRIORIDAD_UNO[[Nombre del requerimiento]:[Fin Producción]],6,FALSE)=0,"",VLOOKUP($A55,PRIORIDAD_UNO[[Nombre del requerimiento]:[Fin Producción]],6,FALSE)),"No está en hoja Prioridad 1"))</f>
        <v>Operaciones</v>
      </c>
      <c r="E55" s="65">
        <f>IFERROR(IF(VLOOKUP($A55,PRIORIDAD_UNO[[Nombre del requerimiento]:[Fin Producción]],17,FALSE)=0,"",VLOOKUP($A55,PRIORIDAD_UNO[[Nombre del requerimiento]:[Fin Producción]],17,FALSE)),"")</f>
        <v>46237</v>
      </c>
      <c r="F55" s="65"/>
      <c r="G55" s="65">
        <f>IFERROR(VLOOKUP($A55,PRIORIDAD_UNO[[Nombre del requerimiento]:[Fin Producción]],18,FALSE),"")</f>
        <v>46331</v>
      </c>
      <c r="H55" s="65"/>
      <c r="I55" s="65">
        <f>IFERROR(VLOOKUP($A55,PRIORIDAD_UNO[[Nombre del requerimiento]:[Fin Producción]],19,FALSE),"")</f>
        <v>46338</v>
      </c>
      <c r="J55" s="65"/>
      <c r="K55" s="65">
        <f>IFERROR(VLOOKUP($A55,PRIORIDAD_UNO[[Nombre del requerimiento]:[Fin Producción]],20,FALSE),"")</f>
        <v>46400</v>
      </c>
      <c r="L55" s="65"/>
      <c r="M55" s="65">
        <f>IFERROR(VLOOKUP($A55,PRIORIDAD_UNO[[Nombre del requerimiento]:[Fin Producción]],21,FALSE),"")</f>
        <v>46407</v>
      </c>
      <c r="N55" s="65"/>
    </row>
    <row r="56" spans="1:14" ht="57.6">
      <c r="A56" s="62" t="s">
        <v>330</v>
      </c>
      <c r="B56" s="64" t="str">
        <f>IFERROR(
VLOOKUP(A56,PRIORIDAD_UNO[[Nombre del requerimiento]:[Tamaño]],5,FALSE),"")</f>
        <v>Grande</v>
      </c>
      <c r="C56" s="65"/>
      <c r="D56" s="66" t="str">
        <f>IF(ISBLANK(A56),"",
IFERROR(IF(VLOOKUP($A56,PRIORIDAD_UNO[[Nombre del requerimiento]:[Fin Producción]],6,FALSE)=0,"",VLOOKUP($A56,PRIORIDAD_UNO[[Nombre del requerimiento]:[Fin Producción]],6,FALSE)),"No está en hoja Prioridad 1"))</f>
        <v>Operaciones</v>
      </c>
      <c r="E56" s="65">
        <f>IFERROR(IF(VLOOKUP($A56,PRIORIDAD_UNO[[Nombre del requerimiento]:[Fin Producción]],17,FALSE)=0,"",VLOOKUP($A56,PRIORIDAD_UNO[[Nombre del requerimiento]:[Fin Producción]],17,FALSE)),"")</f>
        <v>46209</v>
      </c>
      <c r="F56" s="65"/>
      <c r="G56" s="65">
        <f>IFERROR(VLOOKUP($A56,PRIORIDAD_UNO[[Nombre del requerimiento]:[Fin Producción]],18,FALSE),"")</f>
        <v>46372</v>
      </c>
      <c r="H56" s="65"/>
      <c r="I56" s="65">
        <f>IFERROR(VLOOKUP($A56,PRIORIDAD_UNO[[Nombre del requerimiento]:[Fin Producción]],19,FALSE),"")</f>
        <v>46379</v>
      </c>
      <c r="J56" s="65"/>
      <c r="K56" s="65">
        <f>IFERROR(VLOOKUP($A56,PRIORIDAD_UNO[[Nombre del requerimiento]:[Fin Producción]],20,FALSE),"")</f>
        <v>46451</v>
      </c>
      <c r="L56" s="65"/>
      <c r="M56" s="65">
        <f>IFERROR(VLOOKUP($A56,PRIORIDAD_UNO[[Nombre del requerimiento]:[Fin Producción]],21,FALSE),"")</f>
        <v>46458</v>
      </c>
      <c r="N56" s="65"/>
    </row>
    <row r="57" spans="1:14" ht="57.6">
      <c r="A57" s="62" t="s">
        <v>326</v>
      </c>
      <c r="B57" s="64" t="str">
        <f>IFERROR(
VLOOKUP(A57,PRIORIDAD_UNO[[Nombre del requerimiento]:[Tamaño]],5,FALSE),"")</f>
        <v>Grande</v>
      </c>
      <c r="C57" s="65"/>
      <c r="D57" s="66" t="str">
        <f>IF(ISBLANK(A57),"",
IFERROR(IF(VLOOKUP($A57,PRIORIDAD_UNO[[Nombre del requerimiento]:[Fin Producción]],6,FALSE)=0,"",VLOOKUP($A57,PRIORIDAD_UNO[[Nombre del requerimiento]:[Fin Producción]],6,FALSE)),"No está en hoja Prioridad 1"))</f>
        <v>Operaciones</v>
      </c>
      <c r="E57" s="65">
        <f>IFERROR(IF(VLOOKUP($A57,PRIORIDAD_UNO[[Nombre del requerimiento]:[Fin Producción]],17,FALSE)=0,"",VLOOKUP($A57,PRIORIDAD_UNO[[Nombre del requerimiento]:[Fin Producción]],17,FALSE)),"")</f>
        <v>46209</v>
      </c>
      <c r="F57" s="65"/>
      <c r="G57" s="65">
        <f>IFERROR(VLOOKUP($A57,PRIORIDAD_UNO[[Nombre del requerimiento]:[Fin Producción]],18,FALSE),"")</f>
        <v>46372</v>
      </c>
      <c r="H57" s="65"/>
      <c r="I57" s="65">
        <f>IFERROR(VLOOKUP($A57,PRIORIDAD_UNO[[Nombre del requerimiento]:[Fin Producción]],19,FALSE),"")</f>
        <v>46379</v>
      </c>
      <c r="J57" s="65"/>
      <c r="K57" s="65">
        <f>IFERROR(VLOOKUP($A57,PRIORIDAD_UNO[[Nombre del requerimiento]:[Fin Producción]],20,FALSE),"")</f>
        <v>46451</v>
      </c>
      <c r="L57" s="65"/>
      <c r="M57" s="65">
        <f>IFERROR(VLOOKUP($A57,PRIORIDAD_UNO[[Nombre del requerimiento]:[Fin Producción]],21,FALSE),"")</f>
        <v>46458</v>
      </c>
      <c r="N57" s="65"/>
    </row>
    <row r="58" spans="1:14" ht="43.2">
      <c r="A58" s="62" t="s">
        <v>323</v>
      </c>
      <c r="B58" s="64" t="str">
        <f>IFERROR(
VLOOKUP(A58,PRIORIDAD_UNO[[Nombre del requerimiento]:[Tamaño]],5,FALSE),"")</f>
        <v>No definido</v>
      </c>
      <c r="C58" s="65"/>
      <c r="D58" s="66" t="str">
        <f>IF(ISBLANK(A58),"",
IFERROR(IF(VLOOKUP($A58,PRIORIDAD_UNO[[Nombre del requerimiento]:[Fin Producción]],6,FALSE)=0,"",VLOOKUP($A58,PRIORIDAD_UNO[[Nombre del requerimiento]:[Fin Producción]],6,FALSE)),"No está en hoja Prioridad 1"))</f>
        <v>Operaciones</v>
      </c>
      <c r="E58" s="65" t="str">
        <f>IFERROR(IF(VLOOKUP($A58,PRIORIDAD_UNO[[Nombre del requerimiento]:[Fin Producción]],17,FALSE)=0,"",VLOOKUP($A58,PRIORIDAD_UNO[[Nombre del requerimiento]:[Fin Producción]],17,FALSE)),"")</f>
        <v/>
      </c>
      <c r="F58" s="65"/>
      <c r="G58" s="65" t="str">
        <f>IFERROR(VLOOKUP($A58,PRIORIDAD_UNO[[Nombre del requerimiento]:[Fin Producción]],18,FALSE),"")</f>
        <v/>
      </c>
      <c r="H58" s="65"/>
      <c r="I58" s="65" t="str">
        <f>IFERROR(VLOOKUP($A58,PRIORIDAD_UNO[[Nombre del requerimiento]:[Fin Producción]],19,FALSE),"")</f>
        <v/>
      </c>
      <c r="J58" s="65"/>
      <c r="K58" s="65" t="str">
        <f>IFERROR(VLOOKUP($A58,PRIORIDAD_UNO[[Nombre del requerimiento]:[Fin Producción]],20,FALSE),"")</f>
        <v/>
      </c>
      <c r="L58" s="65"/>
      <c r="M58" s="65" t="str">
        <f>IFERROR(VLOOKUP($A58,PRIORIDAD_UNO[[Nombre del requerimiento]:[Fin Producción]],21,FALSE),"")</f>
        <v/>
      </c>
      <c r="N58" s="65"/>
    </row>
    <row r="59" spans="1:14" ht="28.8">
      <c r="A59" s="62" t="s">
        <v>322</v>
      </c>
      <c r="B59" s="64" t="str">
        <f>IFERROR(
VLOOKUP(A59,PRIORIDAD_UNO[[Nombre del requerimiento]:[Tamaño]],5,FALSE),"")</f>
        <v>Mediano</v>
      </c>
      <c r="C59" s="65"/>
      <c r="D59" s="66" t="str">
        <f>IF(ISBLANK(A59),"",
IFERROR(IF(VLOOKUP($A59,PRIORIDAD_UNO[[Nombre del requerimiento]:[Fin Producción]],6,FALSE)=0,"",VLOOKUP($A59,PRIORIDAD_UNO[[Nombre del requerimiento]:[Fin Producción]],6,FALSE)),"No está en hoja Prioridad 1"))</f>
        <v>Banca Digital</v>
      </c>
      <c r="E59" s="65">
        <f>IFERROR(IF(VLOOKUP($A59,PRIORIDAD_UNO[[Nombre del requerimiento]:[Fin Producción]],17,FALSE)=0,"",VLOOKUP($A59,PRIORIDAD_UNO[[Nombre del requerimiento]:[Fin Producción]],17,FALSE)),"")</f>
        <v>46218</v>
      </c>
      <c r="F59" s="65"/>
      <c r="G59" s="65">
        <f>IFERROR(VLOOKUP($A59,PRIORIDAD_UNO[[Nombre del requerimiento]:[Fin Producción]],18,FALSE),"")</f>
        <v>46317</v>
      </c>
      <c r="H59" s="65"/>
      <c r="I59" s="65">
        <f>IFERROR(VLOOKUP($A59,PRIORIDAD_UNO[[Nombre del requerimiento]:[Fin Producción]],19,FALSE),"")</f>
        <v>46324</v>
      </c>
      <c r="J59" s="65"/>
      <c r="K59" s="65">
        <f>IFERROR(VLOOKUP($A59,PRIORIDAD_UNO[[Nombre del requerimiento]:[Fin Producción]],20,FALSE),"")</f>
        <v>46385</v>
      </c>
      <c r="L59" s="65"/>
      <c r="M59" s="65">
        <f>IFERROR(VLOOKUP($A59,PRIORIDAD_UNO[[Nombre del requerimiento]:[Fin Producción]],21,FALSE),"")</f>
        <v>46393</v>
      </c>
      <c r="N59" s="65"/>
    </row>
    <row r="60" spans="1:14" ht="57.6">
      <c r="A60" s="62" t="s">
        <v>319</v>
      </c>
      <c r="B60" s="64" t="str">
        <f>IFERROR(
VLOOKUP(A60,PRIORIDAD_UNO[[Nombre del requerimiento]:[Tamaño]],5,FALSE),"")</f>
        <v>Mediano</v>
      </c>
      <c r="C60" s="65"/>
      <c r="D60" s="66" t="str">
        <f>IF(ISBLANK(A60),"",
IFERROR(IF(VLOOKUP($A60,PRIORIDAD_UNO[[Nombre del requerimiento]:[Fin Producción]],6,FALSE)=0,"",VLOOKUP($A60,PRIORIDAD_UNO[[Nombre del requerimiento]:[Fin Producción]],6,FALSE)),"No está en hoja Prioridad 1"))</f>
        <v>Operaciones</v>
      </c>
      <c r="E60" s="65">
        <f>IFERROR(IF(VLOOKUP($A60,PRIORIDAD_UNO[[Nombre del requerimiento]:[Fin Producción]],17,FALSE)=0,"",VLOOKUP($A60,PRIORIDAD_UNO[[Nombre del requerimiento]:[Fin Producción]],17,FALSE)),"")</f>
        <v>46223</v>
      </c>
      <c r="F60" s="65"/>
      <c r="G60" s="65">
        <f>IFERROR(VLOOKUP($A60,PRIORIDAD_UNO[[Nombre del requerimiento]:[Fin Producción]],18,FALSE),"")</f>
        <v>46322</v>
      </c>
      <c r="H60" s="65"/>
      <c r="I60" s="65">
        <f>IFERROR(VLOOKUP($A60,PRIORIDAD_UNO[[Nombre del requerimiento]:[Fin Producción]],19,FALSE),"")</f>
        <v>46329</v>
      </c>
      <c r="J60" s="65"/>
      <c r="K60" s="65">
        <f>IFERROR(VLOOKUP($A60,PRIORIDAD_UNO[[Nombre del requerimiento]:[Fin Producción]],20,FALSE),"")</f>
        <v>46391</v>
      </c>
      <c r="L60" s="65"/>
      <c r="M60" s="65">
        <f>IFERROR(VLOOKUP($A60,PRIORIDAD_UNO[[Nombre del requerimiento]:[Fin Producción]],21,FALSE),"")</f>
        <v>46398</v>
      </c>
      <c r="N60" s="65"/>
    </row>
    <row r="61" spans="1:14" ht="72">
      <c r="A61" s="62" t="s">
        <v>317</v>
      </c>
      <c r="B61" s="64" t="str">
        <f>IFERROR(
VLOOKUP(A61,PRIORIDAD_UNO[[Nombre del requerimiento]:[Tamaño]],5,FALSE),"")</f>
        <v>Mediano</v>
      </c>
      <c r="C61" s="65"/>
      <c r="D61" s="66" t="str">
        <f>IF(ISBLANK(A61),"",
IFERROR(IF(VLOOKUP($A61,PRIORIDAD_UNO[[Nombre del requerimiento]:[Fin Producción]],6,FALSE)=0,"",VLOOKUP($A61,PRIORIDAD_UNO[[Nombre del requerimiento]:[Fin Producción]],6,FALSE)),"No está en hoja Prioridad 1"))</f>
        <v>Banca Digital</v>
      </c>
      <c r="E61" s="65">
        <f>IFERROR(IF(VLOOKUP($A61,PRIORIDAD_UNO[[Nombre del requerimiento]:[Fin Producción]],17,FALSE)=0,"",VLOOKUP($A61,PRIORIDAD_UNO[[Nombre del requerimiento]:[Fin Producción]],17,FALSE)),"")</f>
        <v>46237</v>
      </c>
      <c r="F61" s="65"/>
      <c r="G61" s="65">
        <f>IFERROR(VLOOKUP($A61,PRIORIDAD_UNO[[Nombre del requerimiento]:[Fin Producción]],18,FALSE),"")</f>
        <v>46331</v>
      </c>
      <c r="H61" s="65"/>
      <c r="I61" s="65">
        <f>IFERROR(VLOOKUP($A61,PRIORIDAD_UNO[[Nombre del requerimiento]:[Fin Producción]],19,FALSE),"")</f>
        <v>46338</v>
      </c>
      <c r="J61" s="65"/>
      <c r="K61" s="65">
        <f>IFERROR(VLOOKUP($A61,PRIORIDAD_UNO[[Nombre del requerimiento]:[Fin Producción]],20,FALSE),"")</f>
        <v>46400</v>
      </c>
      <c r="L61" s="65"/>
      <c r="M61" s="65">
        <f>IFERROR(VLOOKUP($A61,PRIORIDAD_UNO[[Nombre del requerimiento]:[Fin Producción]],21,FALSE),"")</f>
        <v>46407</v>
      </c>
      <c r="N61" s="65"/>
    </row>
    <row r="62" spans="1:14" ht="28.8">
      <c r="A62" s="62" t="s">
        <v>314</v>
      </c>
      <c r="B62" s="64" t="str">
        <f>IFERROR(
VLOOKUP(A62,PRIORIDAD_UNO[[Nombre del requerimiento]:[Tamaño]],5,FALSE),"")</f>
        <v>Mediano</v>
      </c>
      <c r="C62" s="65"/>
      <c r="D62" s="66" t="str">
        <f>IF(ISBLANK(A62),"",
IFERROR(IF(VLOOKUP($A62,PRIORIDAD_UNO[[Nombre del requerimiento]:[Fin Producción]],6,FALSE)=0,"",VLOOKUP($A62,PRIORIDAD_UNO[[Nombre del requerimiento]:[Fin Producción]],6,FALSE)),"No está en hoja Prioridad 1"))</f>
        <v>Banca Digital</v>
      </c>
      <c r="E62" s="65">
        <f>IFERROR(IF(VLOOKUP($A62,PRIORIDAD_UNO[[Nombre del requerimiento]:[Fin Producción]],17,FALSE)=0,"",VLOOKUP($A62,PRIORIDAD_UNO[[Nombre del requerimiento]:[Fin Producción]],17,FALSE)),"")</f>
        <v>46329</v>
      </c>
      <c r="F62" s="65"/>
      <c r="G62" s="65">
        <f>IFERROR(VLOOKUP($A62,PRIORIDAD_UNO[[Nombre del requerimiento]:[Fin Producción]],18,FALSE),"")</f>
        <v>46427</v>
      </c>
      <c r="H62" s="65"/>
      <c r="I62" s="65">
        <f>IFERROR(VLOOKUP($A62,PRIORIDAD_UNO[[Nombre del requerimiento]:[Fin Producción]],19,FALSE),"")</f>
        <v>46434</v>
      </c>
      <c r="J62" s="65"/>
      <c r="K62" s="65">
        <f>IFERROR(VLOOKUP($A62,PRIORIDAD_UNO[[Nombre del requerimiento]:[Fin Producción]],20,FALSE),"")</f>
        <v>46492</v>
      </c>
      <c r="L62" s="65"/>
      <c r="M62" s="65">
        <f>IFERROR(VLOOKUP($A62,PRIORIDAD_UNO[[Nombre del requerimiento]:[Fin Producción]],21,FALSE),"")</f>
        <v>46499</v>
      </c>
      <c r="N62" s="65"/>
    </row>
    <row r="63" spans="1:14" ht="57.6">
      <c r="A63" s="62" t="s">
        <v>311</v>
      </c>
      <c r="B63" s="64" t="str">
        <f>IFERROR(
VLOOKUP(A63,PRIORIDAD_UNO[[Nombre del requerimiento]:[Tamaño]],5,FALSE),"")</f>
        <v>Extra Grande</v>
      </c>
      <c r="C63" s="65"/>
      <c r="D63" s="66" t="str">
        <f>IF(ISBLANK(A63),"",
IFERROR(IF(VLOOKUP($A63,PRIORIDAD_UNO[[Nombre del requerimiento]:[Fin Producción]],6,FALSE)=0,"",VLOOKUP($A63,PRIORIDAD_UNO[[Nombre del requerimiento]:[Fin Producción]],6,FALSE)),"No está en hoja Prioridad 1"))</f>
        <v>Productos e Inclusión Financiera</v>
      </c>
      <c r="E63" s="65">
        <f>IFERROR(IF(VLOOKUP($A63,PRIORIDAD_UNO[[Nombre del requerimiento]:[Fin Producción]],17,FALSE)=0,"",VLOOKUP($A63,PRIORIDAD_UNO[[Nombre del requerimiento]:[Fin Producción]],17,FALSE)),"")</f>
        <v>46209</v>
      </c>
      <c r="F63" s="65"/>
      <c r="G63" s="65">
        <f>IFERROR(VLOOKUP($A63,PRIORIDAD_UNO[[Nombre del requerimiento]:[Fin Producción]],18,FALSE),"")</f>
        <v>46436</v>
      </c>
      <c r="H63" s="65"/>
      <c r="I63" s="65">
        <f>IFERROR(VLOOKUP($A63,PRIORIDAD_UNO[[Nombre del requerimiento]:[Fin Producción]],19,FALSE),"")</f>
        <v>46443</v>
      </c>
      <c r="J63" s="65"/>
      <c r="K63" s="65">
        <f>IFERROR(VLOOKUP($A63,PRIORIDAD_UNO[[Nombre del requerimiento]:[Fin Producción]],20,FALSE),"")</f>
        <v>46517</v>
      </c>
      <c r="L63" s="65"/>
      <c r="M63" s="65">
        <f>IFERROR(VLOOKUP($A63,PRIORIDAD_UNO[[Nombre del requerimiento]:[Fin Producción]],21,FALSE),"")</f>
        <v>46524</v>
      </c>
      <c r="N63" s="65"/>
    </row>
    <row r="64" spans="1:14" ht="43.2">
      <c r="A64" s="62" t="s">
        <v>307</v>
      </c>
      <c r="B64" s="64" t="str">
        <f>IFERROR(
VLOOKUP(A64,PRIORIDAD_UNO[[Nombre del requerimiento]:[Tamaño]],5,FALSE),"")</f>
        <v>Grande</v>
      </c>
      <c r="C64" s="65"/>
      <c r="D64" s="66" t="str">
        <f>IF(ISBLANK(A64),"",
IFERROR(IF(VLOOKUP($A64,PRIORIDAD_UNO[[Nombre del requerimiento]:[Fin Producción]],6,FALSE)=0,"",VLOOKUP($A64,PRIORIDAD_UNO[[Nombre del requerimiento]:[Fin Producción]],6,FALSE)),"No está en hoja Prioridad 1"))</f>
        <v>Operaciones</v>
      </c>
      <c r="E64" s="65">
        <f>IFERROR(IF(VLOOKUP($A64,PRIORIDAD_UNO[[Nombre del requerimiento]:[Fin Producción]],17,FALSE)=0,"",VLOOKUP($A64,PRIORIDAD_UNO[[Nombre del requerimiento]:[Fin Producción]],17,FALSE)),"")</f>
        <v>46272</v>
      </c>
      <c r="F64" s="65"/>
      <c r="G64" s="65">
        <f>IFERROR(VLOOKUP($A64,PRIORIDAD_UNO[[Nombre del requerimiento]:[Fin Producción]],18,FALSE),"")</f>
        <v>46433</v>
      </c>
      <c r="H64" s="65"/>
      <c r="I64" s="65">
        <f>IFERROR(VLOOKUP($A64,PRIORIDAD_UNO[[Nombre del requerimiento]:[Fin Producción]],19,FALSE),"")</f>
        <v>46440</v>
      </c>
      <c r="J64" s="65"/>
      <c r="K64" s="65">
        <f>IFERROR(VLOOKUP($A64,PRIORIDAD_UNO[[Nombre del requerimiento]:[Fin Producción]],20,FALSE),"")</f>
        <v>46512</v>
      </c>
      <c r="L64" s="65"/>
      <c r="M64" s="65">
        <f>IFERROR(VLOOKUP($A64,PRIORIDAD_UNO[[Nombre del requerimiento]:[Fin Producción]],21,FALSE),"")</f>
        <v>46519</v>
      </c>
      <c r="N64" s="65"/>
    </row>
    <row r="65" spans="1:14" ht="72">
      <c r="A65" s="62" t="s">
        <v>305</v>
      </c>
      <c r="B65" s="64" t="str">
        <f>IFERROR(
VLOOKUP(A65,PRIORIDAD_UNO[[Nombre del requerimiento]:[Tamaño]],5,FALSE),"")</f>
        <v>Extra Grande</v>
      </c>
      <c r="C65" s="65"/>
      <c r="D65" s="66" t="str">
        <f>IF(ISBLANK(A65),"",
IFERROR(IF(VLOOKUP($A65,PRIORIDAD_UNO[[Nombre del requerimiento]:[Fin Producción]],6,FALSE)=0,"",VLOOKUP($A65,PRIORIDAD_UNO[[Nombre del requerimiento]:[Fin Producción]],6,FALSE)),"No está en hoja Prioridad 1"))</f>
        <v>Operaciones</v>
      </c>
      <c r="E65" s="65">
        <f>IFERROR(IF(VLOOKUP($A65,PRIORIDAD_UNO[[Nombre del requerimiento]:[Fin Producción]],17,FALSE)=0,"",VLOOKUP($A65,PRIORIDAD_UNO[[Nombre del requerimiento]:[Fin Producción]],17,FALSE)),"")</f>
        <v>46272</v>
      </c>
      <c r="F65" s="65"/>
      <c r="G65" s="65">
        <f>IFERROR(VLOOKUP($A65,PRIORIDAD_UNO[[Nombre del requerimiento]:[Fin Producción]],18,FALSE),"")</f>
        <v>46497</v>
      </c>
      <c r="H65" s="65"/>
      <c r="I65" s="65">
        <f>IFERROR(VLOOKUP($A65,PRIORIDAD_UNO[[Nombre del requerimiento]:[Fin Producción]],19,FALSE),"")</f>
        <v>46504</v>
      </c>
      <c r="J65" s="65"/>
      <c r="K65" s="65">
        <f>IFERROR(VLOOKUP($A65,PRIORIDAD_UNO[[Nombre del requerimiento]:[Fin Producción]],20,FALSE),"")</f>
        <v>46576</v>
      </c>
      <c r="L65" s="65"/>
      <c r="M65" s="65">
        <f>IFERROR(VLOOKUP($A65,PRIORIDAD_UNO[[Nombre del requerimiento]:[Fin Producción]],21,FALSE),"")</f>
        <v>46583</v>
      </c>
      <c r="N65" s="65"/>
    </row>
    <row r="66" spans="1:14" ht="28.8">
      <c r="A66" s="62" t="s">
        <v>303</v>
      </c>
      <c r="B66" s="64" t="str">
        <f>IFERROR(
VLOOKUP(A66,PRIORIDAD_UNO[[Nombre del requerimiento]:[Tamaño]],5,FALSE),"")</f>
        <v>Grande</v>
      </c>
      <c r="C66" s="65"/>
      <c r="D66" s="66" t="str">
        <f>IF(ISBLANK(A66),"",
IFERROR(IF(VLOOKUP($A66,PRIORIDAD_UNO[[Nombre del requerimiento]:[Fin Producción]],6,FALSE)=0,"",VLOOKUP($A66,PRIORIDAD_UNO[[Nombre del requerimiento]:[Fin Producción]],6,FALSE)),"No está en hoja Prioridad 1"))</f>
        <v>Operaciones</v>
      </c>
      <c r="E66" s="65">
        <f>IFERROR(IF(VLOOKUP($A66,PRIORIDAD_UNO[[Nombre del requerimiento]:[Fin Producción]],17,FALSE)=0,"",VLOOKUP($A66,PRIORIDAD_UNO[[Nombre del requerimiento]:[Fin Producción]],17,FALSE)),"")</f>
        <v>46266</v>
      </c>
      <c r="F66" s="65"/>
      <c r="G66" s="65">
        <f>IFERROR(VLOOKUP($A66,PRIORIDAD_UNO[[Nombre del requerimiento]:[Fin Producción]],18,FALSE),"")</f>
        <v>46427</v>
      </c>
      <c r="H66" s="65"/>
      <c r="I66" s="65">
        <f>IFERROR(VLOOKUP($A66,PRIORIDAD_UNO[[Nombre del requerimiento]:[Fin Producción]],19,FALSE),"")</f>
        <v>46434</v>
      </c>
      <c r="J66" s="65"/>
      <c r="K66" s="65">
        <f>IFERROR(VLOOKUP($A66,PRIORIDAD_UNO[[Nombre del requerimiento]:[Fin Producción]],20,FALSE),"")</f>
        <v>46506</v>
      </c>
      <c r="L66" s="65"/>
      <c r="M66" s="65">
        <f>IFERROR(VLOOKUP($A66,PRIORIDAD_UNO[[Nombre del requerimiento]:[Fin Producción]],21,FALSE),"")</f>
        <v>46513</v>
      </c>
      <c r="N66" s="65"/>
    </row>
    <row r="67" spans="1:14" ht="57.6">
      <c r="A67" s="62" t="s">
        <v>301</v>
      </c>
      <c r="B67" s="64" t="str">
        <f>IFERROR(
VLOOKUP(A67,PRIORIDAD_UNO[[Nombre del requerimiento]:[Tamaño]],5,FALSE),"")</f>
        <v>Mediano</v>
      </c>
      <c r="C67" s="65"/>
      <c r="D67" s="66" t="str">
        <f>IF(ISBLANK(A67),"",
IFERROR(IF(VLOOKUP($A67,PRIORIDAD_UNO[[Nombre del requerimiento]:[Fin Producción]],6,FALSE)=0,"",VLOOKUP($A67,PRIORIDAD_UNO[[Nombre del requerimiento]:[Fin Producción]],6,FALSE)),"No está en hoja Prioridad 1"))</f>
        <v>Banca Digital</v>
      </c>
      <c r="E67" s="65">
        <f>IFERROR(IF(VLOOKUP($A67,PRIORIDAD_UNO[[Nombre del requerimiento]:[Fin Producción]],17,FALSE)=0,"",VLOOKUP($A67,PRIORIDAD_UNO[[Nombre del requerimiento]:[Fin Producción]],17,FALSE)),"")</f>
        <v>46266</v>
      </c>
      <c r="F67" s="65"/>
      <c r="G67" s="65">
        <f>IFERROR(VLOOKUP($A67,PRIORIDAD_UNO[[Nombre del requerimiento]:[Fin Producción]],18,FALSE),"")</f>
        <v>46359</v>
      </c>
      <c r="H67" s="65"/>
      <c r="I67" s="65">
        <f>IFERROR(VLOOKUP($A67,PRIORIDAD_UNO[[Nombre del requerimiento]:[Fin Producción]],19,FALSE),"")</f>
        <v>46370</v>
      </c>
      <c r="J67" s="65"/>
      <c r="K67" s="65">
        <f>IFERROR(VLOOKUP($A67,PRIORIDAD_UNO[[Nombre del requerimiento]:[Fin Producción]],20,FALSE),"")</f>
        <v>46428</v>
      </c>
      <c r="L67" s="65"/>
      <c r="M67" s="65">
        <f>IFERROR(VLOOKUP($A67,PRIORIDAD_UNO[[Nombre del requerimiento]:[Fin Producción]],21,FALSE),"")</f>
        <v>46435</v>
      </c>
      <c r="N67" s="65"/>
    </row>
    <row r="68" spans="1:14" ht="28.8">
      <c r="A68" s="62" t="s">
        <v>465</v>
      </c>
      <c r="B68" s="64" t="str">
        <f>IFERROR(
VLOOKUP(A68,PRIORIDAD_UNO[[Nombre del requerimiento]:[Tamaño]],5,FALSE),"")</f>
        <v/>
      </c>
      <c r="C68" s="65"/>
      <c r="D68" s="66" t="str">
        <f>IF(ISBLANK(A68),"",
IFERROR(IF(VLOOKUP($A68,PRIORIDAD_UNO[[Nombre del requerimiento]:[Fin Producción]],6,FALSE)=0,"",VLOOKUP($A68,PRIORIDAD_UNO[[Nombre del requerimiento]:[Fin Producción]],6,FALSE)),"No está en hoja Prioridad 1"))</f>
        <v>No está en hoja Prioridad 1</v>
      </c>
      <c r="E68" s="65" t="str">
        <f>IFERROR(IF(VLOOKUP($A68,PRIORIDAD_UNO[[Nombre del requerimiento]:[Fin Producción]],17,FALSE)=0,"",VLOOKUP($A68,PRIORIDAD_UNO[[Nombre del requerimiento]:[Fin Producción]],17,FALSE)),"")</f>
        <v/>
      </c>
      <c r="F68" s="65"/>
      <c r="G68" s="65" t="str">
        <f>IFERROR(VLOOKUP($A68,PRIORIDAD_UNO[[Nombre del requerimiento]:[Fin Producción]],18,FALSE),"")</f>
        <v/>
      </c>
      <c r="H68" s="65"/>
      <c r="I68" s="65" t="str">
        <f>IFERROR(VLOOKUP($A68,PRIORIDAD_UNO[[Nombre del requerimiento]:[Fin Producción]],19,FALSE),"")</f>
        <v/>
      </c>
      <c r="J68" s="65"/>
      <c r="K68" s="65" t="str">
        <f>IFERROR(VLOOKUP($A68,PRIORIDAD_UNO[[Nombre del requerimiento]:[Fin Producción]],20,FALSE),"")</f>
        <v/>
      </c>
      <c r="L68" s="65"/>
      <c r="M68" s="65" t="str">
        <f>IFERROR(VLOOKUP($A68,PRIORIDAD_UNO[[Nombre del requerimiento]:[Fin Producción]],21,FALSE),"")</f>
        <v/>
      </c>
      <c r="N68" s="65"/>
    </row>
    <row r="69" spans="1:14" ht="28.8">
      <c r="A69" s="62" t="s">
        <v>466</v>
      </c>
      <c r="B69" s="64" t="str">
        <f>IFERROR(
VLOOKUP(A69,PRIORIDAD_UNO[[Nombre del requerimiento]:[Tamaño]],5,FALSE),"")</f>
        <v/>
      </c>
      <c r="C69" s="65"/>
      <c r="D69" s="66" t="str">
        <f>IF(ISBLANK(A69),"",
IFERROR(IF(VLOOKUP($A69,PRIORIDAD_UNO[[Nombre del requerimiento]:[Fin Producción]],6,FALSE)=0,"",VLOOKUP($A69,PRIORIDAD_UNO[[Nombre del requerimiento]:[Fin Producción]],6,FALSE)),"No está en hoja Prioridad 1"))</f>
        <v>No está en hoja Prioridad 1</v>
      </c>
      <c r="E69" s="65" t="str">
        <f>IFERROR(IF(VLOOKUP($A69,PRIORIDAD_UNO[[Nombre del requerimiento]:[Fin Producción]],17,FALSE)=0,"",VLOOKUP($A69,PRIORIDAD_UNO[[Nombre del requerimiento]:[Fin Producción]],17,FALSE)),"")</f>
        <v/>
      </c>
      <c r="F69" s="65"/>
      <c r="G69" s="65" t="str">
        <f>IFERROR(VLOOKUP($A69,PRIORIDAD_UNO[[Nombre del requerimiento]:[Fin Producción]],18,FALSE),"")</f>
        <v/>
      </c>
      <c r="H69" s="65"/>
      <c r="I69" s="65" t="str">
        <f>IFERROR(VLOOKUP($A69,PRIORIDAD_UNO[[Nombre del requerimiento]:[Fin Producción]],19,FALSE),"")</f>
        <v/>
      </c>
      <c r="J69" s="65"/>
      <c r="K69" s="65" t="str">
        <f>IFERROR(VLOOKUP($A69,PRIORIDAD_UNO[[Nombre del requerimiento]:[Fin Producción]],20,FALSE),"")</f>
        <v/>
      </c>
      <c r="L69" s="65"/>
      <c r="M69" s="65" t="str">
        <f>IFERROR(VLOOKUP($A69,PRIORIDAD_UNO[[Nombre del requerimiento]:[Fin Producción]],21,FALSE),"")</f>
        <v/>
      </c>
      <c r="N69" s="65"/>
    </row>
    <row r="70" spans="1:14" ht="28.8">
      <c r="A70" s="62" t="s">
        <v>467</v>
      </c>
      <c r="B70" s="64" t="str">
        <f>IFERROR(
VLOOKUP(A70,PRIORIDAD_UNO[[Nombre del requerimiento]:[Tamaño]],5,FALSE),"")</f>
        <v/>
      </c>
      <c r="C70" s="65"/>
      <c r="D70" s="66" t="str">
        <f>IF(ISBLANK(A70),"",
IFERROR(IF(VLOOKUP($A70,PRIORIDAD_UNO[[Nombre del requerimiento]:[Fin Producción]],6,FALSE)=0,"",VLOOKUP($A70,PRIORIDAD_UNO[[Nombre del requerimiento]:[Fin Producción]],6,FALSE)),"No está en hoja Prioridad 1"))</f>
        <v>No está en hoja Prioridad 1</v>
      </c>
      <c r="E70" s="65" t="str">
        <f>IFERROR(IF(VLOOKUP($A70,PRIORIDAD_UNO[[Nombre del requerimiento]:[Fin Producción]],17,FALSE)=0,"",VLOOKUP($A70,PRIORIDAD_UNO[[Nombre del requerimiento]:[Fin Producción]],17,FALSE)),"")</f>
        <v/>
      </c>
      <c r="F70" s="65"/>
      <c r="G70" s="65" t="str">
        <f>IFERROR(VLOOKUP($A70,PRIORIDAD_UNO[[Nombre del requerimiento]:[Fin Producción]],18,FALSE),"")</f>
        <v/>
      </c>
      <c r="H70" s="65"/>
      <c r="I70" s="65" t="str">
        <f>IFERROR(VLOOKUP($A70,PRIORIDAD_UNO[[Nombre del requerimiento]:[Fin Producción]],19,FALSE),"")</f>
        <v/>
      </c>
      <c r="J70" s="65"/>
      <c r="K70" s="65" t="str">
        <f>IFERROR(VLOOKUP($A70,PRIORIDAD_UNO[[Nombre del requerimiento]:[Fin Producción]],20,FALSE),"")</f>
        <v/>
      </c>
      <c r="L70" s="65"/>
      <c r="M70" s="65" t="str">
        <f>IFERROR(VLOOKUP($A70,PRIORIDAD_UNO[[Nombre del requerimiento]:[Fin Producción]],21,FALSE),"")</f>
        <v/>
      </c>
      <c r="N70" s="65"/>
    </row>
    <row r="71" spans="1:14" ht="28.8">
      <c r="A71" s="62" t="s">
        <v>300</v>
      </c>
      <c r="B71" s="64" t="str">
        <f>IFERROR(
VLOOKUP(A71,PRIORIDAD_UNO[[Nombre del requerimiento]:[Tamaño]],5,FALSE),"")</f>
        <v>Grande</v>
      </c>
      <c r="C71" s="65"/>
      <c r="D71" s="66" t="str">
        <f>IF(ISBLANK(A71),"",
IFERROR(IF(VLOOKUP($A71,PRIORIDAD_UNO[[Nombre del requerimiento]:[Fin Producción]],6,FALSE)=0,"",VLOOKUP($A71,PRIORIDAD_UNO[[Nombre del requerimiento]:[Fin Producción]],6,FALSE)),"No está en hoja Prioridad 1"))</f>
        <v>Banca Digital</v>
      </c>
      <c r="E71" s="65">
        <f>IFERROR(IF(VLOOKUP($A71,PRIORIDAD_UNO[[Nombre del requerimiento]:[Fin Producción]],17,FALSE)=0,"",VLOOKUP($A71,PRIORIDAD_UNO[[Nombre del requerimiento]:[Fin Producción]],17,FALSE)),"")</f>
        <v>46174</v>
      </c>
      <c r="F71" s="65"/>
      <c r="G71" s="65">
        <f>IFERROR(VLOOKUP($A71,PRIORIDAD_UNO[[Nombre del requerimiento]:[Fin Producción]],18,FALSE),"")</f>
        <v>46336</v>
      </c>
      <c r="H71" s="65"/>
      <c r="I71" s="65">
        <f>IFERROR(VLOOKUP($A71,PRIORIDAD_UNO[[Nombre del requerimiento]:[Fin Producción]],19,FALSE),"")</f>
        <v>46343</v>
      </c>
      <c r="J71" s="65"/>
      <c r="K71" s="65">
        <f>IFERROR(VLOOKUP($A71,PRIORIDAD_UNO[[Nombre del requerimiento]:[Fin Producción]],20,FALSE),"")</f>
        <v>46419</v>
      </c>
      <c r="L71" s="65"/>
      <c r="M71" s="65">
        <f>IFERROR(VLOOKUP($A71,PRIORIDAD_UNO[[Nombre del requerimiento]:[Fin Producción]],21,FALSE),"")</f>
        <v>46426</v>
      </c>
      <c r="N71" s="65"/>
    </row>
    <row r="72" spans="1:14" ht="28.8">
      <c r="A72" s="62" t="s">
        <v>468</v>
      </c>
      <c r="B72" s="64" t="str">
        <f>IFERROR(
VLOOKUP(A72,PRIORIDAD_UNO[[Nombre del requerimiento]:[Tamaño]],5,FALSE),"")</f>
        <v/>
      </c>
      <c r="C72" s="65"/>
      <c r="D72" s="66" t="str">
        <f>IF(ISBLANK(A72),"",
IFERROR(IF(VLOOKUP($A72,PRIORIDAD_UNO[[Nombre del requerimiento]:[Fin Producción]],6,FALSE)=0,"",VLOOKUP($A72,PRIORIDAD_UNO[[Nombre del requerimiento]:[Fin Producción]],6,FALSE)),"No está en hoja Prioridad 1"))</f>
        <v>No está en hoja Prioridad 1</v>
      </c>
      <c r="E72" s="65" t="str">
        <f>IFERROR(IF(VLOOKUP($A72,PRIORIDAD_UNO[[Nombre del requerimiento]:[Fin Producción]],17,FALSE)=0,"",VLOOKUP($A72,PRIORIDAD_UNO[[Nombre del requerimiento]:[Fin Producción]],17,FALSE)),"")</f>
        <v/>
      </c>
      <c r="F72" s="65"/>
      <c r="G72" s="65" t="str">
        <f>IFERROR(VLOOKUP($A72,PRIORIDAD_UNO[[Nombre del requerimiento]:[Fin Producción]],18,FALSE),"")</f>
        <v/>
      </c>
      <c r="H72" s="65"/>
      <c r="I72" s="65" t="str">
        <f>IFERROR(VLOOKUP($A72,PRIORIDAD_UNO[[Nombre del requerimiento]:[Fin Producción]],19,FALSE),"")</f>
        <v/>
      </c>
      <c r="J72" s="65"/>
      <c r="K72" s="65" t="str">
        <f>IFERROR(VLOOKUP($A72,PRIORIDAD_UNO[[Nombre del requerimiento]:[Fin Producción]],20,FALSE),"")</f>
        <v/>
      </c>
      <c r="L72" s="65"/>
      <c r="M72" s="65" t="str">
        <f>IFERROR(VLOOKUP($A72,PRIORIDAD_UNO[[Nombre del requerimiento]:[Fin Producción]],21,FALSE),"")</f>
        <v/>
      </c>
      <c r="N72" s="65"/>
    </row>
    <row r="73" spans="1:14" ht="28.8">
      <c r="A73" s="62" t="s">
        <v>297</v>
      </c>
      <c r="B73" s="64" t="str">
        <f>IFERROR(
VLOOKUP(A73,PRIORIDAD_UNO[[Nombre del requerimiento]:[Tamaño]],5,FALSE),"")</f>
        <v>Mediano</v>
      </c>
      <c r="C73" s="65"/>
      <c r="D73" s="66" t="str">
        <f>IF(ISBLANK(A73),"",
IFERROR(IF(VLOOKUP($A73,PRIORIDAD_UNO[[Nombre del requerimiento]:[Fin Producción]],6,FALSE)=0,"",VLOOKUP($A73,PRIORIDAD_UNO[[Nombre del requerimiento]:[Fin Producción]],6,FALSE)),"No está en hoja Prioridad 1"))</f>
        <v>Productos e Inclusión Financiera</v>
      </c>
      <c r="E73" s="65">
        <f>IFERROR(IF(VLOOKUP($A73,PRIORIDAD_UNO[[Nombre del requerimiento]:[Fin Producción]],17,FALSE)=0,"",VLOOKUP($A73,PRIORIDAD_UNO[[Nombre del requerimiento]:[Fin Producción]],17,FALSE)),"")</f>
        <v>46422</v>
      </c>
      <c r="F73" s="65"/>
      <c r="G73" s="65">
        <f>IFERROR(VLOOKUP($A73,PRIORIDAD_UNO[[Nombre del requerimiento]:[Fin Producción]],18,FALSE),"")</f>
        <v>46518</v>
      </c>
      <c r="H73" s="65"/>
      <c r="I73" s="65">
        <f>IFERROR(VLOOKUP($A73,PRIORIDAD_UNO[[Nombre del requerimiento]:[Fin Producción]],19,FALSE),"")</f>
        <v>46525</v>
      </c>
      <c r="J73" s="65"/>
      <c r="K73" s="65">
        <f>IFERROR(VLOOKUP($A73,PRIORIDAD_UNO[[Nombre del requerimiento]:[Fin Producción]],20,FALSE),"")</f>
        <v>46583</v>
      </c>
      <c r="L73" s="65"/>
      <c r="M73" s="65">
        <f>IFERROR(VLOOKUP($A73,PRIORIDAD_UNO[[Nombre del requerimiento]:[Fin Producción]],21,FALSE),"")</f>
        <v>46590</v>
      </c>
      <c r="N73" s="65"/>
    </row>
    <row r="74" spans="1:14" ht="28.8">
      <c r="A74" s="62" t="s">
        <v>469</v>
      </c>
      <c r="B74" s="64" t="str">
        <f>IFERROR(
VLOOKUP(A74,PRIORIDAD_UNO[[Nombre del requerimiento]:[Tamaño]],5,FALSE),"")</f>
        <v/>
      </c>
      <c r="C74" s="65"/>
      <c r="D74" s="66" t="str">
        <f>IF(ISBLANK(A74),"",
IFERROR(IF(VLOOKUP($A74,PRIORIDAD_UNO[[Nombre del requerimiento]:[Fin Producción]],6,FALSE)=0,"",VLOOKUP($A74,PRIORIDAD_UNO[[Nombre del requerimiento]:[Fin Producción]],6,FALSE)),"No está en hoja Prioridad 1"))</f>
        <v>No está en hoja Prioridad 1</v>
      </c>
      <c r="E74" s="65" t="str">
        <f>IFERROR(IF(VLOOKUP($A74,PRIORIDAD_UNO[[Nombre del requerimiento]:[Fin Producción]],17,FALSE)=0,"",VLOOKUP($A74,PRIORIDAD_UNO[[Nombre del requerimiento]:[Fin Producción]],17,FALSE)),"")</f>
        <v/>
      </c>
      <c r="F74" s="65"/>
      <c r="G74" s="65" t="str">
        <f>IFERROR(VLOOKUP($A74,PRIORIDAD_UNO[[Nombre del requerimiento]:[Fin Producción]],18,FALSE),"")</f>
        <v/>
      </c>
      <c r="H74" s="65"/>
      <c r="I74" s="65" t="str">
        <f>IFERROR(VLOOKUP($A74,PRIORIDAD_UNO[[Nombre del requerimiento]:[Fin Producción]],19,FALSE),"")</f>
        <v/>
      </c>
      <c r="J74" s="65"/>
      <c r="K74" s="65" t="str">
        <f>IFERROR(VLOOKUP($A74,PRIORIDAD_UNO[[Nombre del requerimiento]:[Fin Producción]],20,FALSE),"")</f>
        <v/>
      </c>
      <c r="L74" s="65"/>
      <c r="M74" s="65" t="str">
        <f>IFERROR(VLOOKUP($A74,PRIORIDAD_UNO[[Nombre del requerimiento]:[Fin Producción]],21,FALSE),"")</f>
        <v/>
      </c>
      <c r="N74" s="65"/>
    </row>
    <row r="75" spans="1:14" ht="57.6">
      <c r="A75" s="62" t="s">
        <v>294</v>
      </c>
      <c r="B75" s="64" t="str">
        <f>IFERROR(
VLOOKUP(A75,PRIORIDAD_UNO[[Nombre del requerimiento]:[Tamaño]],5,FALSE),"")</f>
        <v>Grande</v>
      </c>
      <c r="C75" s="65"/>
      <c r="D75" s="66" t="str">
        <f>IF(ISBLANK(A75),"",
IFERROR(IF(VLOOKUP($A75,PRIORIDAD_UNO[[Nombre del requerimiento]:[Fin Producción]],6,FALSE)=0,"",VLOOKUP($A75,PRIORIDAD_UNO[[Nombre del requerimiento]:[Fin Producción]],6,FALSE)),"No está en hoja Prioridad 1"))</f>
        <v>Operaciones</v>
      </c>
      <c r="E75" s="65">
        <f>IFERROR(IF(VLOOKUP($A75,PRIORIDAD_UNO[[Nombre del requerimiento]:[Fin Producción]],17,FALSE)=0,"",VLOOKUP($A75,PRIORIDAD_UNO[[Nombre del requerimiento]:[Fin Producción]],17,FALSE)),"")</f>
        <v>46272</v>
      </c>
      <c r="F75" s="65"/>
      <c r="G75" s="65">
        <f>IFERROR(VLOOKUP($A75,PRIORIDAD_UNO[[Nombre del requerimiento]:[Fin Producción]],18,FALSE),"")</f>
        <v>46433</v>
      </c>
      <c r="H75" s="65"/>
      <c r="I75" s="65">
        <f>IFERROR(VLOOKUP($A75,PRIORIDAD_UNO[[Nombre del requerimiento]:[Fin Producción]],19,FALSE),"")</f>
        <v>46440</v>
      </c>
      <c r="J75" s="65"/>
      <c r="K75" s="65">
        <f>IFERROR(VLOOKUP($A75,PRIORIDAD_UNO[[Nombre del requerimiento]:[Fin Producción]],20,FALSE),"")</f>
        <v>46512</v>
      </c>
      <c r="L75" s="65"/>
      <c r="M75" s="65">
        <f>IFERROR(VLOOKUP($A75,PRIORIDAD_UNO[[Nombre del requerimiento]:[Fin Producción]],21,FALSE),"")</f>
        <v>46519</v>
      </c>
      <c r="N75" s="65"/>
    </row>
    <row r="76" spans="1:14" ht="43.2">
      <c r="A76" s="62" t="s">
        <v>292</v>
      </c>
      <c r="B76" s="64" t="str">
        <f>IFERROR(
VLOOKUP(A76,PRIORIDAD_UNO[[Nombre del requerimiento]:[Tamaño]],5,FALSE),"")</f>
        <v>Pequeño</v>
      </c>
      <c r="C76" s="65"/>
      <c r="D76" s="66" t="str">
        <f>IF(ISBLANK(A76),"",
IFERROR(IF(VLOOKUP($A76,PRIORIDAD_UNO[[Nombre del requerimiento]:[Fin Producción]],6,FALSE)=0,"",VLOOKUP($A76,PRIORIDAD_UNO[[Nombre del requerimiento]:[Fin Producción]],6,FALSE)),"No está en hoja Prioridad 1"))</f>
        <v>Operaciones</v>
      </c>
      <c r="E76" s="65">
        <f>IFERROR(IF(VLOOKUP($A76,PRIORIDAD_UNO[[Nombre del requerimiento]:[Fin Producción]],17,FALSE)=0,"",VLOOKUP($A76,PRIORIDAD_UNO[[Nombre del requerimiento]:[Fin Producción]],17,FALSE)),"")</f>
        <v>46209</v>
      </c>
      <c r="F76" s="65"/>
      <c r="G76" s="65">
        <f>IFERROR(VLOOKUP($A76,PRIORIDAD_UNO[[Nombre del requerimiento]:[Fin Producción]],18,FALSE),"")</f>
        <v>46255</v>
      </c>
      <c r="H76" s="65"/>
      <c r="I76" s="65">
        <f>IFERROR(VLOOKUP($A76,PRIORIDAD_UNO[[Nombre del requerimiento]:[Fin Producción]],19,FALSE),"")</f>
        <v>46262</v>
      </c>
      <c r="J76" s="65"/>
      <c r="K76" s="65">
        <f>IFERROR(VLOOKUP($A76,PRIORIDAD_UNO[[Nombre del requerimiento]:[Fin Producción]],20,FALSE),"")</f>
        <v>46307</v>
      </c>
      <c r="L76" s="65"/>
      <c r="M76" s="65">
        <f>IFERROR(VLOOKUP($A76,PRIORIDAD_UNO[[Nombre del requerimiento]:[Fin Producción]],21,FALSE),"")</f>
        <v>46314</v>
      </c>
      <c r="N76" s="65"/>
    </row>
    <row r="77" spans="1:14" ht="28.8">
      <c r="A77" s="62" t="s">
        <v>288</v>
      </c>
      <c r="B77" s="64" t="str">
        <f>IFERROR(
VLOOKUP(A77,PRIORIDAD_UNO[[Nombre del requerimiento]:[Tamaño]],5,FALSE),"")</f>
        <v>Mediano</v>
      </c>
      <c r="C77" s="65"/>
      <c r="D77" s="66" t="str">
        <f>IF(ISBLANK(A77),"",
IFERROR(IF(VLOOKUP($A77,PRIORIDAD_UNO[[Nombre del requerimiento]:[Fin Producción]],6,FALSE)=0,"",VLOOKUP($A77,PRIORIDAD_UNO[[Nombre del requerimiento]:[Fin Producción]],6,FALSE)),"No está en hoja Prioridad 1"))</f>
        <v>Banca Digital</v>
      </c>
      <c r="E77" s="65">
        <f>IFERROR(IF(VLOOKUP($A77,PRIORIDAD_UNO[[Nombre del requerimiento]:[Fin Producción]],17,FALSE)=0,"",VLOOKUP($A77,PRIORIDAD_UNO[[Nombre del requerimiento]:[Fin Producción]],17,FALSE)),"")</f>
        <v>46204</v>
      </c>
      <c r="F77" s="65"/>
      <c r="G77" s="65">
        <f>IFERROR(VLOOKUP($A77,PRIORIDAD_UNO[[Nombre del requerimiento]:[Fin Producción]],18,FALSE),"")</f>
        <v>46302</v>
      </c>
      <c r="H77" s="65"/>
      <c r="I77" s="65">
        <f>IFERROR(VLOOKUP($A77,PRIORIDAD_UNO[[Nombre del requerimiento]:[Fin Producción]],19,FALSE),"")</f>
        <v>46310</v>
      </c>
      <c r="J77" s="65"/>
      <c r="K77" s="65">
        <f>IFERROR(VLOOKUP($A77,PRIORIDAD_UNO[[Nombre del requerimiento]:[Fin Producción]],20,FALSE),"")</f>
        <v>46370</v>
      </c>
      <c r="L77" s="65"/>
      <c r="M77" s="65">
        <f>IFERROR(VLOOKUP($A77,PRIORIDAD_UNO[[Nombre del requerimiento]:[Fin Producción]],21,FALSE),"")</f>
        <v>46377</v>
      </c>
      <c r="N77" s="65"/>
    </row>
    <row r="78" spans="1:14" ht="57.6">
      <c r="A78" s="62" t="s">
        <v>284</v>
      </c>
      <c r="B78" s="64" t="str">
        <f>IFERROR(
VLOOKUP(A78,PRIORIDAD_UNO[[Nombre del requerimiento]:[Tamaño]],5,FALSE),"")</f>
        <v>Mediano</v>
      </c>
      <c r="C78" s="65"/>
      <c r="D78" s="66" t="str">
        <f>IF(ISBLANK(A78),"",
IFERROR(IF(VLOOKUP($A78,PRIORIDAD_UNO[[Nombre del requerimiento]:[Fin Producción]],6,FALSE)=0,"",VLOOKUP($A78,PRIORIDAD_UNO[[Nombre del requerimiento]:[Fin Producción]],6,FALSE)),"No está en hoja Prioridad 1"))</f>
        <v>Operaciones</v>
      </c>
      <c r="E78" s="65">
        <f>IFERROR(IF(VLOOKUP($A78,PRIORIDAD_UNO[[Nombre del requerimiento]:[Fin Producción]],17,FALSE)=0,"",VLOOKUP($A78,PRIORIDAD_UNO[[Nombre del requerimiento]:[Fin Producción]],17,FALSE)),"")</f>
        <v>46209</v>
      </c>
      <c r="F78" s="65"/>
      <c r="G78" s="65"/>
      <c r="H78" s="65"/>
      <c r="I78" s="65"/>
      <c r="J78" s="65"/>
      <c r="K78" s="65"/>
      <c r="L78" s="65"/>
      <c r="M78" s="65"/>
      <c r="N78" s="65"/>
    </row>
    <row r="79" spans="1:14">
      <c r="A79" s="62" t="s">
        <v>283</v>
      </c>
      <c r="B79" s="64" t="str">
        <f>IFERROR(
VLOOKUP(A79,PRIORIDAD_UNO[[Nombre del requerimiento]:[Tamaño]],5,FALSE),"")</f>
        <v>Pequeño</v>
      </c>
      <c r="C79" s="65"/>
      <c r="D79" s="66" t="str">
        <f>IF(ISBLANK(A79),"",
IFERROR(IF(VLOOKUP($A79,PRIORIDAD_UNO[[Nombre del requerimiento]:[Fin Producción]],6,FALSE)=0,"",VLOOKUP($A79,PRIORIDAD_UNO[[Nombre del requerimiento]:[Fin Producción]],6,FALSE)),"No está en hoja Prioridad 1"))</f>
        <v>Banca Digital</v>
      </c>
      <c r="E79" s="65">
        <f>IFERROR(IF(VLOOKUP($A79,PRIORIDAD_UNO[[Nombre del requerimiento]:[Fin Producción]],17,FALSE)=0,"",VLOOKUP($A79,PRIORIDAD_UNO[[Nombre del requerimiento]:[Fin Producción]],17,FALSE)),"")</f>
        <v>46174</v>
      </c>
      <c r="F79" s="65"/>
      <c r="G79" s="65">
        <f>IFERROR(VLOOKUP($A79,PRIORIDAD_UNO[[Nombre del requerimiento]:[Fin Producción]],18,FALSE),"")</f>
        <v>46217</v>
      </c>
      <c r="H79" s="65"/>
      <c r="I79" s="65">
        <f>IFERROR(VLOOKUP($A79,PRIORIDAD_UNO[[Nombre del requerimiento]:[Fin Producción]],19,FALSE),"")</f>
        <v>46224</v>
      </c>
      <c r="J79" s="65"/>
      <c r="K79" s="65">
        <f>IFERROR(VLOOKUP($A79,PRIORIDAD_UNO[[Nombre del requerimiento]:[Fin Producción]],20,FALSE),"")</f>
        <v>46272</v>
      </c>
      <c r="L79" s="65"/>
      <c r="M79" s="65">
        <f>IFERROR(VLOOKUP($A79,PRIORIDAD_UNO[[Nombre del requerimiento]:[Fin Producción]],21,FALSE),"")</f>
        <v>46279</v>
      </c>
      <c r="N79" s="65"/>
    </row>
    <row r="80" spans="1:14" ht="43.2">
      <c r="A80" s="67" t="s">
        <v>470</v>
      </c>
      <c r="B80" s="64" t="str">
        <f>IFERROR(
VLOOKUP(A80,PRIORIDAD_UNO[[Nombre del requerimiento]:[Tamaño]],5,FALSE),"")</f>
        <v/>
      </c>
      <c r="C80" s="65"/>
      <c r="D80" s="66" t="str">
        <f>IF(ISBLANK(A80),"",
IFERROR(IF(VLOOKUP($A80,PRIORIDAD_UNO[[Nombre del requerimiento]:[Fin Producción]],6,FALSE)=0,"",VLOOKUP($A80,PRIORIDAD_UNO[[Nombre del requerimiento]:[Fin Producción]],6,FALSE)),"No está en hoja Prioridad 1"))</f>
        <v>No está en hoja Prioridad 1</v>
      </c>
      <c r="E80" s="65" t="str">
        <f>IFERROR(IF(VLOOKUP($A80,PRIORIDAD_UNO[[Nombre del requerimiento]:[Fin Producción]],17,FALSE)=0,"",VLOOKUP($A80,PRIORIDAD_UNO[[Nombre del requerimiento]:[Fin Producción]],17,FALSE)),"")</f>
        <v/>
      </c>
      <c r="F80" s="65">
        <v>46254</v>
      </c>
      <c r="G80" s="65" t="str">
        <f>IFERROR(VLOOKUP($A80,PRIORIDAD_UNO[[Nombre del requerimiento]:[Fin Producción]],18,FALSE),"")</f>
        <v/>
      </c>
      <c r="H80" s="65">
        <v>46255</v>
      </c>
      <c r="I80" s="65" t="str">
        <f>IFERROR(VLOOKUP($A80,PRIORIDAD_UNO[[Nombre del requerimiento]:[Fin Producción]],19,FALSE),"")</f>
        <v/>
      </c>
      <c r="J80" s="65">
        <v>46282</v>
      </c>
      <c r="K80" s="65" t="str">
        <f>IFERROR(VLOOKUP($A80,PRIORIDAD_UNO[[Nombre del requerimiento]:[Fin Producción]],20,FALSE),"")</f>
        <v/>
      </c>
      <c r="L80" s="65">
        <v>46283</v>
      </c>
      <c r="M80" s="65" t="str">
        <f>IFERROR(VLOOKUP($A80,PRIORIDAD_UNO[[Nombre del requerimiento]:[Fin Producción]],21,FALSE),"")</f>
        <v/>
      </c>
      <c r="N80" s="65">
        <v>46286</v>
      </c>
    </row>
    <row r="81" spans="1:14" ht="28.8">
      <c r="A81" s="62" t="s">
        <v>281</v>
      </c>
      <c r="B81" s="64" t="str">
        <f>IFERROR(
VLOOKUP(A81,PRIORIDAD_UNO[[Nombre del requerimiento]:[Tamaño]],5,FALSE),"")</f>
        <v>Mediano</v>
      </c>
      <c r="C81" s="65"/>
      <c r="D81" s="66" t="str">
        <f>IF(ISBLANK(A81),"",
IFERROR(IF(VLOOKUP($A81,PRIORIDAD_UNO[[Nombre del requerimiento]:[Fin Producción]],6,FALSE)=0,"",VLOOKUP($A81,PRIORIDAD_UNO[[Nombre del requerimiento]:[Fin Producción]],6,FALSE)),"No está en hoja Prioridad 1"))</f>
        <v>Banca Digital</v>
      </c>
      <c r="E81" s="65">
        <f>IFERROR(IF(VLOOKUP($A81,PRIORIDAD_UNO[[Nombre del requerimiento]:[Fin Producción]],17,FALSE)=0,"",VLOOKUP($A81,PRIORIDAD_UNO[[Nombre del requerimiento]:[Fin Producción]],17,FALSE)),"")</f>
        <v>46280</v>
      </c>
      <c r="F81" s="65"/>
      <c r="G81" s="65">
        <f>IFERROR(VLOOKUP($A81,PRIORIDAD_UNO[[Nombre del requerimiento]:[Fin Producción]],18,FALSE),"")</f>
        <v>46377</v>
      </c>
      <c r="H81" s="65"/>
      <c r="I81" s="65">
        <f>IFERROR(VLOOKUP($A81,PRIORIDAD_UNO[[Nombre del requerimiento]:[Fin Producción]],19,FALSE),"")</f>
        <v>46385</v>
      </c>
      <c r="J81" s="65"/>
      <c r="K81" s="65">
        <f>IFERROR(VLOOKUP($A81,PRIORIDAD_UNO[[Nombre del requerimiento]:[Fin Producción]],20,FALSE),"")</f>
        <v>46442</v>
      </c>
      <c r="L81" s="65"/>
      <c r="M81" s="65">
        <f>IFERROR(VLOOKUP($A81,PRIORIDAD_UNO[[Nombre del requerimiento]:[Fin Producción]],21,FALSE),"")</f>
        <v>46449</v>
      </c>
      <c r="N81" s="65"/>
    </row>
    <row r="82" spans="1:14" ht="43.2">
      <c r="A82" s="62" t="s">
        <v>277</v>
      </c>
      <c r="B82" s="64" t="str">
        <f>IFERROR(
VLOOKUP(A82,PRIORIDAD_UNO[[Nombre del requerimiento]:[Tamaño]],5,FALSE),"")</f>
        <v>Mediano</v>
      </c>
      <c r="C82" s="65"/>
      <c r="D82" s="66" t="str">
        <f>IF(ISBLANK(A82),"",
IFERROR(IF(VLOOKUP($A82,PRIORIDAD_UNO[[Nombre del requerimiento]:[Fin Producción]],6,FALSE)=0,"",VLOOKUP($A82,PRIORIDAD_UNO[[Nombre del requerimiento]:[Fin Producción]],6,FALSE)),"No está en hoja Prioridad 1"))</f>
        <v>Operaciones</v>
      </c>
      <c r="E82" s="65">
        <f>IFERROR(IF(VLOOKUP($A82,PRIORIDAD_UNO[[Nombre del requerimiento]:[Fin Producción]],17,FALSE)=0,"",VLOOKUP($A82,PRIORIDAD_UNO[[Nombre del requerimiento]:[Fin Producción]],17,FALSE)),"")</f>
        <v>46237</v>
      </c>
      <c r="F82" s="65"/>
      <c r="G82" s="65">
        <f>IFERROR(VLOOKUP($A82,PRIORIDAD_UNO[[Nombre del requerimiento]:[Fin Producción]],18,FALSE),"")</f>
        <v>46331</v>
      </c>
      <c r="H82" s="65"/>
      <c r="I82" s="65">
        <f>IFERROR(VLOOKUP($A82,PRIORIDAD_UNO[[Nombre del requerimiento]:[Fin Producción]],19,FALSE),"")</f>
        <v>46338</v>
      </c>
      <c r="J82" s="65"/>
      <c r="K82" s="65">
        <f>IFERROR(VLOOKUP($A82,PRIORIDAD_UNO[[Nombre del requerimiento]:[Fin Producción]],20,FALSE),"")</f>
        <v>46400</v>
      </c>
      <c r="L82" s="65"/>
      <c r="M82" s="65">
        <f>IFERROR(VLOOKUP($A82,PRIORIDAD_UNO[[Nombre del requerimiento]:[Fin Producción]],21,FALSE),"")</f>
        <v>46407</v>
      </c>
      <c r="N82" s="65"/>
    </row>
    <row r="83" spans="1:14" ht="43.2">
      <c r="A83" s="62" t="s">
        <v>273</v>
      </c>
      <c r="B83" s="64" t="str">
        <f>IFERROR(
VLOOKUP(A83,PRIORIDAD_UNO[[Nombre del requerimiento]:[Tamaño]],5,FALSE),"")</f>
        <v>Grande</v>
      </c>
      <c r="C83" s="65"/>
      <c r="D83" s="66" t="str">
        <f>IF(ISBLANK(A83),"",
IFERROR(IF(VLOOKUP($A83,PRIORIDAD_UNO[[Nombre del requerimiento]:[Fin Producción]],6,FALSE)=0,"",VLOOKUP($A83,PRIORIDAD_UNO[[Nombre del requerimiento]:[Fin Producción]],6,FALSE)),"No está en hoja Prioridad 1"))</f>
        <v>Finanzas y Tesorería</v>
      </c>
      <c r="E83" s="65">
        <f>IFERROR(IF(VLOOKUP($A83,PRIORIDAD_UNO[[Nombre del requerimiento]:[Fin Producción]],17,FALSE)=0,"",VLOOKUP($A83,PRIORIDAD_UNO[[Nombre del requerimiento]:[Fin Producción]],17,FALSE)),"")</f>
        <v>46237</v>
      </c>
      <c r="F83" s="65"/>
      <c r="G83" s="65">
        <f>IFERROR(VLOOKUP($A83,PRIORIDAD_UNO[[Nombre del requerimiento]:[Fin Producción]],18,FALSE),"")</f>
        <v>46399</v>
      </c>
      <c r="H83" s="65"/>
      <c r="I83" s="65">
        <f>IFERROR(VLOOKUP($A83,PRIORIDAD_UNO[[Nombre del requerimiento]:[Fin Producción]],19,FALSE),"")</f>
        <v>46406</v>
      </c>
      <c r="J83" s="65"/>
      <c r="K83" s="65">
        <f>IFERROR(VLOOKUP($A83,PRIORIDAD_UNO[[Nombre del requerimiento]:[Fin Producción]],20,FALSE),"")</f>
        <v>46478</v>
      </c>
      <c r="L83" s="65"/>
      <c r="M83" s="65">
        <f>IFERROR(VLOOKUP($A83,PRIORIDAD_UNO[[Nombre del requerimiento]:[Fin Producción]],21,FALSE),"")</f>
        <v>46485</v>
      </c>
      <c r="N83" s="65"/>
    </row>
    <row r="84" spans="1:14" ht="28.8">
      <c r="A84" s="62" t="s">
        <v>272</v>
      </c>
      <c r="B84" s="64" t="str">
        <f>IFERROR(
VLOOKUP(A84,PRIORIDAD_UNO[[Nombre del requerimiento]:[Tamaño]],5,FALSE),"")</f>
        <v>Grande</v>
      </c>
      <c r="C84" s="65"/>
      <c r="D84" s="66" t="str">
        <f>IF(ISBLANK(A84),"",
IFERROR(IF(VLOOKUP($A84,PRIORIDAD_UNO[[Nombre del requerimiento]:[Fin Producción]],6,FALSE)=0,"",VLOOKUP($A84,PRIORIDAD_UNO[[Nombre del requerimiento]:[Fin Producción]],6,FALSE)),"No está en hoja Prioridad 1"))</f>
        <v>Banca Digital</v>
      </c>
      <c r="E84" s="65">
        <f>IFERROR(IF(VLOOKUP($A84,PRIORIDAD_UNO[[Nombre del requerimiento]:[Fin Producción]],17,FALSE)=0,"",VLOOKUP($A84,PRIORIDAD_UNO[[Nombre del requerimiento]:[Fin Producción]],17,FALSE)),"")</f>
        <v>46235</v>
      </c>
      <c r="F84" s="65"/>
      <c r="G84" s="65">
        <f>IFERROR(VLOOKUP($A84,PRIORIDAD_UNO[[Nombre del requerimiento]:[Fin Producción]],18,FALSE),"")</f>
        <v>46398</v>
      </c>
      <c r="H84" s="65"/>
      <c r="I84" s="65">
        <f>IFERROR(VLOOKUP($A84,PRIORIDAD_UNO[[Nombre del requerimiento]:[Fin Producción]],19,FALSE),"")</f>
        <v>46405</v>
      </c>
      <c r="J84" s="65"/>
      <c r="K84" s="65">
        <f>IFERROR(VLOOKUP($A84,PRIORIDAD_UNO[[Nombre del requerimiento]:[Fin Producción]],20,FALSE),"")</f>
        <v>46477</v>
      </c>
      <c r="L84" s="65"/>
      <c r="M84" s="65">
        <f>IFERROR(VLOOKUP($A84,PRIORIDAD_UNO[[Nombre del requerimiento]:[Fin Producción]],21,FALSE),"")</f>
        <v>46484</v>
      </c>
      <c r="N84" s="65"/>
    </row>
    <row r="85" spans="1:14" ht="28.8">
      <c r="A85" s="62" t="s">
        <v>271</v>
      </c>
      <c r="B85" s="64" t="str">
        <f>IFERROR(
VLOOKUP(A85,PRIORIDAD_UNO[[Nombre del requerimiento]:[Tamaño]],5,FALSE),"")</f>
        <v>Grande</v>
      </c>
      <c r="C85" s="65"/>
      <c r="D85" s="66" t="str">
        <f>IF(ISBLANK(A85),"",
IFERROR(IF(VLOOKUP($A85,PRIORIDAD_UNO[[Nombre del requerimiento]:[Fin Producción]],6,FALSE)=0,"",VLOOKUP($A85,PRIORIDAD_UNO[[Nombre del requerimiento]:[Fin Producción]],6,FALSE)),"No está en hoja Prioridad 1"))</f>
        <v>Banca Digital</v>
      </c>
      <c r="E85" s="65">
        <f>IFERROR(IF(VLOOKUP($A85,PRIORIDAD_UNO[[Nombre del requerimiento]:[Fin Producción]],17,FALSE)=0,"",VLOOKUP($A85,PRIORIDAD_UNO[[Nombre del requerimiento]:[Fin Producción]],17,FALSE)),"")</f>
        <v>46235</v>
      </c>
      <c r="F85" s="65"/>
      <c r="G85" s="65">
        <f>IFERROR(VLOOKUP($A85,PRIORIDAD_UNO[[Nombre del requerimiento]:[Fin Producción]],18,FALSE),"")</f>
        <v>46398</v>
      </c>
      <c r="H85" s="65"/>
      <c r="I85" s="65">
        <f>IFERROR(VLOOKUP($A85,PRIORIDAD_UNO[[Nombre del requerimiento]:[Fin Producción]],19,FALSE),"")</f>
        <v>46405</v>
      </c>
      <c r="J85" s="65"/>
      <c r="K85" s="65">
        <f>IFERROR(VLOOKUP($A85,PRIORIDAD_UNO[[Nombre del requerimiento]:[Fin Producción]],20,FALSE),"")</f>
        <v>46477</v>
      </c>
      <c r="L85" s="65"/>
      <c r="M85" s="65">
        <f>IFERROR(VLOOKUP($A85,PRIORIDAD_UNO[[Nombre del requerimiento]:[Fin Producción]],21,FALSE),"")</f>
        <v>46484</v>
      </c>
      <c r="N85" s="65"/>
    </row>
    <row r="86" spans="1:14" ht="28.8">
      <c r="A86" s="62" t="s">
        <v>270</v>
      </c>
      <c r="B86" s="64" t="str">
        <f>IFERROR(
VLOOKUP(A86,PRIORIDAD_UNO[[Nombre del requerimiento]:[Tamaño]],5,FALSE),"")</f>
        <v>Pequeño</v>
      </c>
      <c r="C86" s="65"/>
      <c r="D86" s="66" t="str">
        <f>IF(ISBLANK(A86),"",
IFERROR(IF(VLOOKUP($A86,PRIORIDAD_UNO[[Nombre del requerimiento]:[Fin Producción]],6,FALSE)=0,"",VLOOKUP($A86,PRIORIDAD_UNO[[Nombre del requerimiento]:[Fin Producción]],6,FALSE)),"No está en hoja Prioridad 1"))</f>
        <v>Productos e Inclusión Financiera</v>
      </c>
      <c r="E86" s="65">
        <f>IFERROR(IF(VLOOKUP($A86,PRIORIDAD_UNO[[Nombre del requerimiento]:[Fin Producción]],17,FALSE)=0,"",VLOOKUP($A86,PRIORIDAD_UNO[[Nombre del requerimiento]:[Fin Producción]],17,FALSE)),"")</f>
        <v>46237</v>
      </c>
      <c r="F86" s="65"/>
      <c r="G86" s="65">
        <f>IFERROR(VLOOKUP($A86,PRIORIDAD_UNO[[Nombre del requerimiento]:[Fin Producción]],18,FALSE),"")</f>
        <v>46280</v>
      </c>
      <c r="H86" s="65"/>
      <c r="I86" s="65">
        <f>IFERROR(VLOOKUP($A86,PRIORIDAD_UNO[[Nombre del requerimiento]:[Fin Producción]],19,FALSE),"")</f>
        <v>46287</v>
      </c>
      <c r="J86" s="65"/>
      <c r="K86" s="65">
        <f>IFERROR(VLOOKUP($A86,PRIORIDAD_UNO[[Nombre del requerimiento]:[Fin Producción]],20,FALSE),"")</f>
        <v>46330</v>
      </c>
      <c r="L86" s="65"/>
      <c r="M86" s="65">
        <f>IFERROR(VLOOKUP($A86,PRIORIDAD_UNO[[Nombre del requerimiento]:[Fin Producción]],21,FALSE),"")</f>
        <v>46337</v>
      </c>
      <c r="N86" s="65"/>
    </row>
    <row r="87" spans="1:14" ht="28.8">
      <c r="A87" s="62" t="s">
        <v>269</v>
      </c>
      <c r="B87" s="64" t="str">
        <f>IFERROR(
VLOOKUP(A87,PRIORIDAD_UNO[[Nombre del requerimiento]:[Tamaño]],5,FALSE),"")</f>
        <v>Mediano</v>
      </c>
      <c r="C87" s="65"/>
      <c r="D87" s="66" t="str">
        <f>IF(ISBLANK(A87),"",
IFERROR(IF(VLOOKUP($A87,PRIORIDAD_UNO[[Nombre del requerimiento]:[Fin Producción]],6,FALSE)=0,"",VLOOKUP($A87,PRIORIDAD_UNO[[Nombre del requerimiento]:[Fin Producción]],6,FALSE)),"No está en hoja Prioridad 1"))</f>
        <v>Productos e Inclusión Financiera</v>
      </c>
      <c r="E87" s="65">
        <f>IFERROR(IF(VLOOKUP($A87,PRIORIDAD_UNO[[Nombre del requerimiento]:[Fin Producción]],17,FALSE)=0,"",VLOOKUP($A87,PRIORIDAD_UNO[[Nombre del requerimiento]:[Fin Producción]],17,FALSE)),"")</f>
        <v>46237</v>
      </c>
      <c r="F87" s="65"/>
      <c r="G87" s="65">
        <f>IFERROR(VLOOKUP($A87,PRIORIDAD_UNO[[Nombre del requerimiento]:[Fin Producción]],18,FALSE),"")</f>
        <v>46331</v>
      </c>
      <c r="H87" s="65"/>
      <c r="I87" s="65">
        <f>IFERROR(VLOOKUP($A87,PRIORIDAD_UNO[[Nombre del requerimiento]:[Fin Producción]],19,FALSE),"")</f>
        <v>46338</v>
      </c>
      <c r="J87" s="65"/>
      <c r="K87" s="65">
        <f>IFERROR(VLOOKUP($A87,PRIORIDAD_UNO[[Nombre del requerimiento]:[Fin Producción]],20,FALSE),"")</f>
        <v>46400</v>
      </c>
      <c r="L87" s="65"/>
      <c r="M87" s="65">
        <f>IFERROR(VLOOKUP($A87,PRIORIDAD_UNO[[Nombre del requerimiento]:[Fin Producción]],21,FALSE),"")</f>
        <v>46407</v>
      </c>
      <c r="N87" s="65"/>
    </row>
    <row r="88" spans="1:14" ht="43.2">
      <c r="A88" s="62" t="s">
        <v>265</v>
      </c>
      <c r="B88" s="64" t="str">
        <f>IFERROR(
VLOOKUP(A88,PRIORIDAD_UNO[[Nombre del requerimiento]:[Tamaño]],5,FALSE),"")</f>
        <v>Extra Grande</v>
      </c>
      <c r="C88" s="65"/>
      <c r="D88" s="66" t="str">
        <f>IF(ISBLANK(A88),"",
IFERROR(IF(VLOOKUP($A88,PRIORIDAD_UNO[[Nombre del requerimiento]:[Fin Producción]],6,FALSE)=0,"",VLOOKUP($A88,PRIORIDAD_UNO[[Nombre del requerimiento]:[Fin Producción]],6,FALSE)),"No está en hoja Prioridad 1"))</f>
        <v>Operaciones</v>
      </c>
      <c r="E88" s="65">
        <f>IFERROR(IF(VLOOKUP($A88,PRIORIDAD_UNO[[Nombre del requerimiento]:[Fin Producción]],17,FALSE)=0,"",VLOOKUP($A88,PRIORIDAD_UNO[[Nombre del requerimiento]:[Fin Producción]],17,FALSE)),"")</f>
        <v>46272</v>
      </c>
      <c r="F88" s="65"/>
      <c r="G88" s="65">
        <f>IFERROR(VLOOKUP($A88,PRIORIDAD_UNO[[Nombre del requerimiento]:[Fin Producción]],18,FALSE),"")</f>
        <v>46497</v>
      </c>
      <c r="H88" s="65"/>
      <c r="I88" s="65">
        <f>IFERROR(VLOOKUP($A88,PRIORIDAD_UNO[[Nombre del requerimiento]:[Fin Producción]],19,FALSE),"")</f>
        <v>46504</v>
      </c>
      <c r="J88" s="65"/>
      <c r="K88" s="65">
        <f>IFERROR(VLOOKUP($A88,PRIORIDAD_UNO[[Nombre del requerimiento]:[Fin Producción]],20,FALSE),"")</f>
        <v>46576</v>
      </c>
      <c r="L88" s="65"/>
      <c r="M88" s="65">
        <f>IFERROR(VLOOKUP($A88,PRIORIDAD_UNO[[Nombre del requerimiento]:[Fin Producción]],21,FALSE),"")</f>
        <v>46583</v>
      </c>
      <c r="N88" s="65"/>
    </row>
    <row r="89" spans="1:14" ht="43.2">
      <c r="A89" s="62" t="s">
        <v>263</v>
      </c>
      <c r="B89" s="64" t="str">
        <f>IFERROR(
VLOOKUP(A89,PRIORIDAD_UNO[[Nombre del requerimiento]:[Tamaño]],5,FALSE),"")</f>
        <v>Extra Grande</v>
      </c>
      <c r="C89" s="65"/>
      <c r="D89" s="66" t="str">
        <f>IF(ISBLANK(A89),"",
IFERROR(IF(VLOOKUP($A89,PRIORIDAD_UNO[[Nombre del requerimiento]:[Fin Producción]],6,FALSE)=0,"",VLOOKUP($A89,PRIORIDAD_UNO[[Nombre del requerimiento]:[Fin Producción]],6,FALSE)),"No está en hoja Prioridad 1"))</f>
        <v>Operaciones</v>
      </c>
      <c r="E89" s="65">
        <f>IFERROR(IF(VLOOKUP($A89,PRIORIDAD_UNO[[Nombre del requerimiento]:[Fin Producción]],17,FALSE)=0,"",VLOOKUP($A89,PRIORIDAD_UNO[[Nombre del requerimiento]:[Fin Producción]],17,FALSE)),"")</f>
        <v>46566</v>
      </c>
      <c r="F89" s="65"/>
      <c r="G89" s="65">
        <f>IFERROR(VLOOKUP($A89,PRIORIDAD_UNO[[Nombre del requerimiento]:[Fin Producción]],18,FALSE),"")</f>
        <v>46794</v>
      </c>
      <c r="H89" s="65"/>
      <c r="I89" s="65">
        <f>IFERROR(VLOOKUP($A89,PRIORIDAD_UNO[[Nombre del requerimiento]:[Fin Producción]],19,FALSE),"")</f>
        <v>46801</v>
      </c>
      <c r="J89" s="65"/>
      <c r="K89" s="65">
        <f>IFERROR(VLOOKUP($A89,PRIORIDAD_UNO[[Nombre del requerimiento]:[Fin Producción]],20,FALSE),"")</f>
        <v>46871</v>
      </c>
      <c r="L89" s="65"/>
      <c r="M89" s="65">
        <f>IFERROR(VLOOKUP($A89,PRIORIDAD_UNO[[Nombre del requerimiento]:[Fin Producción]],21,FALSE),"")</f>
        <v>46878</v>
      </c>
      <c r="N89" s="65"/>
    </row>
    <row r="90" spans="1:14" ht="28.8">
      <c r="A90" s="62" t="s">
        <v>258</v>
      </c>
      <c r="B90" s="64" t="str">
        <f>IFERROR(
VLOOKUP(A90,PRIORIDAD_UNO[[Nombre del requerimiento]:[Tamaño]],5,FALSE),"")</f>
        <v>Mediano</v>
      </c>
      <c r="C90" s="65"/>
      <c r="D90" s="66" t="str">
        <f>IF(ISBLANK(A90),"",
IFERROR(IF(VLOOKUP($A90,PRIORIDAD_UNO[[Nombre del requerimiento]:[Fin Producción]],6,FALSE)=0,"",VLOOKUP($A90,PRIORIDAD_UNO[[Nombre del requerimiento]:[Fin Producción]],6,FALSE)),"No está en hoja Prioridad 1"))</f>
        <v>Riesgos</v>
      </c>
      <c r="E90" s="65">
        <f>IFERROR(IF(VLOOKUP($A90,PRIORIDAD_UNO[[Nombre del requerimiento]:[Fin Producción]],17,FALSE)=0,"",VLOOKUP($A90,PRIORIDAD_UNO[[Nombre del requerimiento]:[Fin Producción]],17,FALSE)),"")</f>
        <v>46296</v>
      </c>
      <c r="F90" s="65"/>
      <c r="G90" s="65">
        <f>IFERROR(VLOOKUP($A90,PRIORIDAD_UNO[[Nombre del requerimiento]:[Fin Producción]],18,FALSE),"")</f>
        <v>46395</v>
      </c>
      <c r="H90" s="65"/>
      <c r="I90" s="65">
        <f>IFERROR(VLOOKUP($A90,PRIORIDAD_UNO[[Nombre del requerimiento]:[Fin Producción]],19,FALSE),"")</f>
        <v>46402</v>
      </c>
      <c r="J90" s="65"/>
      <c r="K90" s="65">
        <f>IFERROR(VLOOKUP($A90,PRIORIDAD_UNO[[Nombre del requerimiento]:[Fin Producción]],20,FALSE),"")</f>
        <v>46458</v>
      </c>
      <c r="L90" s="65"/>
      <c r="M90" s="65">
        <f>IFERROR(VLOOKUP($A90,PRIORIDAD_UNO[[Nombre del requerimiento]:[Fin Producción]],21,FALSE),"")</f>
        <v>46465</v>
      </c>
      <c r="N90" s="65"/>
    </row>
    <row r="91" spans="1:14">
      <c r="A91" s="62" t="s">
        <v>251</v>
      </c>
      <c r="B91" s="64" t="str">
        <f>IFERROR(
VLOOKUP(A91,PRIORIDAD_UNO[[Nombre del requerimiento]:[Tamaño]],5,FALSE),"")</f>
        <v>Mediano</v>
      </c>
      <c r="C91" s="65"/>
      <c r="D91" s="66" t="str">
        <f>IF(ISBLANK(A91),"",
IFERROR(IF(VLOOKUP($A91,PRIORIDAD_UNO[[Nombre del requerimiento]:[Fin Producción]],6,FALSE)=0,"",VLOOKUP($A91,PRIORIDAD_UNO[[Nombre del requerimiento]:[Fin Producción]],6,FALSE)),"No está en hoja Prioridad 1"))</f>
        <v>Banca Digital</v>
      </c>
      <c r="E91" s="65">
        <f>IFERROR(IF(VLOOKUP($A91,PRIORIDAD_UNO[[Nombre del requerimiento]:[Fin Producción]],17,FALSE)=0,"",VLOOKUP($A91,PRIORIDAD_UNO[[Nombre del requerimiento]:[Fin Producción]],17,FALSE)),"")</f>
        <v>46266</v>
      </c>
      <c r="F91" s="65"/>
      <c r="G91" s="65">
        <f>IFERROR(VLOOKUP($A91,PRIORIDAD_UNO[[Nombre del requerimiento]:[Fin Producción]],18,FALSE),"")</f>
        <v>46359</v>
      </c>
      <c r="H91" s="65"/>
      <c r="I91" s="65">
        <f>IFERROR(VLOOKUP($A91,PRIORIDAD_UNO[[Nombre del requerimiento]:[Fin Producción]],19,FALSE),"")</f>
        <v>46370</v>
      </c>
      <c r="J91" s="65"/>
      <c r="K91" s="65">
        <f>IFERROR(VLOOKUP($A91,PRIORIDAD_UNO[[Nombre del requerimiento]:[Fin Producción]],20,FALSE),"")</f>
        <v>46428</v>
      </c>
      <c r="L91" s="65"/>
      <c r="M91" s="65">
        <f>IFERROR(VLOOKUP($A91,PRIORIDAD_UNO[[Nombre del requerimiento]:[Fin Producción]],21,FALSE),"")</f>
        <v>46435</v>
      </c>
      <c r="N91" s="65"/>
    </row>
    <row r="92" spans="1:14" ht="28.8">
      <c r="A92" s="62" t="s">
        <v>471</v>
      </c>
      <c r="B92" s="64" t="str">
        <f>IFERROR(
VLOOKUP(A92,PRIORIDAD_UNO[[Nombre del requerimiento]:[Tamaño]],5,FALSE),"")</f>
        <v/>
      </c>
      <c r="C92" s="65"/>
      <c r="D92" s="66" t="str">
        <f>IF(ISBLANK(A92),"",
IFERROR(IF(VLOOKUP($A92,PRIORIDAD_UNO[[Nombre del requerimiento]:[Fin Producción]],6,FALSE)=0,"",VLOOKUP($A92,PRIORIDAD_UNO[[Nombre del requerimiento]:[Fin Producción]],6,FALSE)),"No está en hoja Prioridad 1"))</f>
        <v>No está en hoja Prioridad 1</v>
      </c>
      <c r="E92" s="65" t="str">
        <f>IFERROR(IF(VLOOKUP($A92,PRIORIDAD_UNO[[Nombre del requerimiento]:[Fin Producción]],17,FALSE)=0,"",VLOOKUP($A92,PRIORIDAD_UNO[[Nombre del requerimiento]:[Fin Producción]],17,FALSE)),"")</f>
        <v/>
      </c>
      <c r="F92" s="65"/>
      <c r="G92" s="65" t="str">
        <f>IFERROR(VLOOKUP($A92,PRIORIDAD_UNO[[Nombre del requerimiento]:[Fin Producción]],18,FALSE),"")</f>
        <v/>
      </c>
      <c r="H92" s="65"/>
      <c r="I92" s="65" t="str">
        <f>IFERROR(VLOOKUP($A92,PRIORIDAD_UNO[[Nombre del requerimiento]:[Fin Producción]],19,FALSE),"")</f>
        <v/>
      </c>
      <c r="J92" s="65"/>
      <c r="K92" s="65" t="str">
        <f>IFERROR(VLOOKUP($A92,PRIORIDAD_UNO[[Nombre del requerimiento]:[Fin Producción]],20,FALSE),"")</f>
        <v/>
      </c>
      <c r="L92" s="65"/>
      <c r="M92" s="65" t="str">
        <f>IFERROR(VLOOKUP($A92,PRIORIDAD_UNO[[Nombre del requerimiento]:[Fin Producción]],21,FALSE),"")</f>
        <v/>
      </c>
      <c r="N92" s="65"/>
    </row>
    <row r="93" spans="1:14" ht="43.2">
      <c r="A93" s="62" t="s">
        <v>250</v>
      </c>
      <c r="B93" s="64" t="str">
        <f>IFERROR(
VLOOKUP(A93,PRIORIDAD_UNO[[Nombre del requerimiento]:[Tamaño]],5,FALSE),"")</f>
        <v>Mediano</v>
      </c>
      <c r="C93" s="65"/>
      <c r="D93" s="66" t="str">
        <f>IF(ISBLANK(A93),"",
IFERROR(IF(VLOOKUP($A93,PRIORIDAD_UNO[[Nombre del requerimiento]:[Fin Producción]],6,FALSE)=0,"",VLOOKUP($A93,PRIORIDAD_UNO[[Nombre del requerimiento]:[Fin Producción]],6,FALSE)),"No está en hoja Prioridad 1"))</f>
        <v>Finanzas y Tesorería</v>
      </c>
      <c r="E93" s="65">
        <f>IFERROR(IF(VLOOKUP($A93,PRIORIDAD_UNO[[Nombre del requerimiento]:[Fin Producción]],17,FALSE)=0,"",VLOOKUP($A93,PRIORIDAD_UNO[[Nombre del requerimiento]:[Fin Producción]],17,FALSE)),"")</f>
        <v>46569</v>
      </c>
      <c r="F93" s="65"/>
      <c r="G93" s="65">
        <f>IFERROR(VLOOKUP($A93,PRIORIDAD_UNO[[Nombre del requerimiento]:[Fin Producción]],18,FALSE),"")</f>
        <v>46672</v>
      </c>
      <c r="H93" s="65"/>
      <c r="I93" s="65">
        <f>IFERROR(VLOOKUP($A93,PRIORIDAD_UNO[[Nombre del requerimiento]:[Fin Producción]],19,FALSE),"")</f>
        <v>46679</v>
      </c>
      <c r="J93" s="65"/>
      <c r="K93" s="65">
        <f>IFERROR(VLOOKUP($A93,PRIORIDAD_UNO[[Nombre del requerimiento]:[Fin Producción]],20,FALSE),"")</f>
        <v>46738</v>
      </c>
      <c r="L93" s="65"/>
      <c r="M93" s="65">
        <f>IFERROR(VLOOKUP($A93,PRIORIDAD_UNO[[Nombre del requerimiento]:[Fin Producción]],21,FALSE),"")</f>
        <v>46745</v>
      </c>
      <c r="N93" s="65"/>
    </row>
    <row r="94" spans="1:14" ht="43.2">
      <c r="A94" s="62" t="s">
        <v>247</v>
      </c>
      <c r="B94" s="64" t="str">
        <f>IFERROR(
VLOOKUP(A94,PRIORIDAD_UNO[[Nombre del requerimiento]:[Tamaño]],5,FALSE),"")</f>
        <v>Mediano</v>
      </c>
      <c r="C94" s="65"/>
      <c r="D94" s="66" t="str">
        <f>IF(ISBLANK(A94),"",
IFERROR(IF(VLOOKUP($A94,PRIORIDAD_UNO[[Nombre del requerimiento]:[Fin Producción]],6,FALSE)=0,"",VLOOKUP($A94,PRIORIDAD_UNO[[Nombre del requerimiento]:[Fin Producción]],6,FALSE)),"No está en hoja Prioridad 1"))</f>
        <v>Finanzas y Tesorería</v>
      </c>
      <c r="E94" s="65">
        <f>IFERROR(IF(VLOOKUP($A94,PRIORIDAD_UNO[[Nombre del requerimiento]:[Fin Producción]],17,FALSE)=0,"",VLOOKUP($A94,PRIORIDAD_UNO[[Nombre del requerimiento]:[Fin Producción]],17,FALSE)),"")</f>
        <v>46569</v>
      </c>
      <c r="F94" s="65"/>
      <c r="G94" s="65">
        <f>IFERROR(VLOOKUP($A94,PRIORIDAD_UNO[[Nombre del requerimiento]:[Fin Producción]],18,FALSE),"")</f>
        <v>46672</v>
      </c>
      <c r="H94" s="65"/>
      <c r="I94" s="65">
        <f>IFERROR(VLOOKUP($A94,PRIORIDAD_UNO[[Nombre del requerimiento]:[Fin Producción]],19,FALSE),"")</f>
        <v>46679</v>
      </c>
      <c r="J94" s="65"/>
      <c r="K94" s="65">
        <f>IFERROR(VLOOKUP($A94,PRIORIDAD_UNO[[Nombre del requerimiento]:[Fin Producción]],20,FALSE),"")</f>
        <v>46738</v>
      </c>
      <c r="L94" s="65"/>
      <c r="M94" s="65">
        <f>IFERROR(VLOOKUP($A94,PRIORIDAD_UNO[[Nombre del requerimiento]:[Fin Producción]],21,FALSE),"")</f>
        <v>46745</v>
      </c>
      <c r="N94" s="65"/>
    </row>
    <row r="95" spans="1:14" ht="43.2">
      <c r="A95" s="62" t="s">
        <v>245</v>
      </c>
      <c r="B95" s="64" t="str">
        <f>IFERROR(
VLOOKUP(A95,PRIORIDAD_UNO[[Nombre del requerimiento]:[Tamaño]],5,FALSE),"")</f>
        <v>Mediano</v>
      </c>
      <c r="C95" s="65"/>
      <c r="D95" s="66" t="str">
        <f>IF(ISBLANK(A95),"",
IFERROR(IF(VLOOKUP($A95,PRIORIDAD_UNO[[Nombre del requerimiento]:[Fin Producción]],6,FALSE)=0,"",VLOOKUP($A95,PRIORIDAD_UNO[[Nombre del requerimiento]:[Fin Producción]],6,FALSE)),"No está en hoja Prioridad 1"))</f>
        <v>Operaciones</v>
      </c>
      <c r="E95" s="65">
        <f>IFERROR(IF(VLOOKUP($A95,PRIORIDAD_UNO[[Nombre del requerimiento]:[Fin Producción]],17,FALSE)=0,"",VLOOKUP($A95,PRIORIDAD_UNO[[Nombre del requerimiento]:[Fin Producción]],17,FALSE)),"")</f>
        <v>46727</v>
      </c>
      <c r="F95" s="65"/>
      <c r="G95" s="65">
        <f>IFERROR(VLOOKUP($A95,PRIORIDAD_UNO[[Nombre del requerimiento]:[Fin Producción]],18,FALSE),"")</f>
        <v>46821</v>
      </c>
      <c r="H95" s="65"/>
      <c r="I95" s="65">
        <f>IFERROR(VLOOKUP($A95,PRIORIDAD_UNO[[Nombre del requerimiento]:[Fin Producción]],19,FALSE),"")</f>
        <v>46828</v>
      </c>
      <c r="J95" s="65"/>
      <c r="K95" s="65">
        <f>IFERROR(VLOOKUP($A95,PRIORIDAD_UNO[[Nombre del requerimiento]:[Fin Producción]],20,FALSE),"")</f>
        <v>46884</v>
      </c>
      <c r="L95" s="65"/>
      <c r="M95" s="65">
        <f>IFERROR(VLOOKUP($A95,PRIORIDAD_UNO[[Nombre del requerimiento]:[Fin Producción]],21,FALSE),"")</f>
        <v>46891</v>
      </c>
      <c r="N95" s="65"/>
    </row>
    <row r="96" spans="1:14" ht="43.2">
      <c r="A96" s="62" t="s">
        <v>243</v>
      </c>
      <c r="B96" s="64" t="str">
        <f>IFERROR(
VLOOKUP(A96,PRIORIDAD_UNO[[Nombre del requerimiento]:[Tamaño]],5,FALSE),"")</f>
        <v>No definido</v>
      </c>
      <c r="C96" s="65"/>
      <c r="D96" s="66" t="str">
        <f>IF(ISBLANK(A96),"",
IFERROR(IF(VLOOKUP($A96,PRIORIDAD_UNO[[Nombre del requerimiento]:[Fin Producción]],6,FALSE)=0,"",VLOOKUP($A96,PRIORIDAD_UNO[[Nombre del requerimiento]:[Fin Producción]],6,FALSE)),"No está en hoja Prioridad 1"))</f>
        <v>Banca Digital</v>
      </c>
      <c r="E96" s="65" t="str">
        <f>IFERROR(IF(VLOOKUP($A96,PRIORIDAD_UNO[[Nombre del requerimiento]:[Fin Producción]],17,FALSE)=0,"",VLOOKUP($A96,PRIORIDAD_UNO[[Nombre del requerimiento]:[Fin Producción]],17,FALSE)),"")</f>
        <v/>
      </c>
      <c r="F96" s="65"/>
      <c r="G96" s="65" t="str">
        <f>IFERROR(VLOOKUP($A96,PRIORIDAD_UNO[[Nombre del requerimiento]:[Fin Producción]],18,FALSE),"")</f>
        <v/>
      </c>
      <c r="H96" s="65"/>
      <c r="I96" s="65" t="str">
        <f>IFERROR(VLOOKUP($A96,PRIORIDAD_UNO[[Nombre del requerimiento]:[Fin Producción]],19,FALSE),"")</f>
        <v/>
      </c>
      <c r="J96" s="65"/>
      <c r="K96" s="65" t="str">
        <f>IFERROR(VLOOKUP($A96,PRIORIDAD_UNO[[Nombre del requerimiento]:[Fin Producción]],20,FALSE),"")</f>
        <v/>
      </c>
      <c r="L96" s="65"/>
      <c r="M96" s="65" t="str">
        <f>IFERROR(VLOOKUP($A96,PRIORIDAD_UNO[[Nombre del requerimiento]:[Fin Producción]],21,FALSE),"")</f>
        <v/>
      </c>
      <c r="N96" s="65"/>
    </row>
    <row r="97" spans="1:14" ht="43.2">
      <c r="A97" s="62" t="s">
        <v>240</v>
      </c>
      <c r="B97" s="64" t="str">
        <f>IFERROR(
VLOOKUP(A97,PRIORIDAD_UNO[[Nombre del requerimiento]:[Tamaño]],5,FALSE),"")</f>
        <v>No definido</v>
      </c>
      <c r="C97" s="65"/>
      <c r="D97" s="66" t="str">
        <f>IF(ISBLANK(A97),"",
IFERROR(IF(VLOOKUP($A97,PRIORIDAD_UNO[[Nombre del requerimiento]:[Fin Producción]],6,FALSE)=0,"",VLOOKUP($A97,PRIORIDAD_UNO[[Nombre del requerimiento]:[Fin Producción]],6,FALSE)),"No está en hoja Prioridad 1"))</f>
        <v>Operaciones</v>
      </c>
      <c r="E97" s="65" t="str">
        <f>IFERROR(IF(VLOOKUP($A97,PRIORIDAD_UNO[[Nombre del requerimiento]:[Fin Producción]],17,FALSE)=0,"",VLOOKUP($A97,PRIORIDAD_UNO[[Nombre del requerimiento]:[Fin Producción]],17,FALSE)),"")</f>
        <v/>
      </c>
      <c r="F97" s="65"/>
      <c r="G97" s="65" t="str">
        <f>IFERROR(VLOOKUP($A97,PRIORIDAD_UNO[[Nombre del requerimiento]:[Fin Producción]],18,FALSE),"")</f>
        <v/>
      </c>
      <c r="H97" s="65"/>
      <c r="I97" s="65" t="str">
        <f>IFERROR(VLOOKUP($A97,PRIORIDAD_UNO[[Nombre del requerimiento]:[Fin Producción]],19,FALSE),"")</f>
        <v/>
      </c>
      <c r="J97" s="65"/>
      <c r="K97" s="65" t="str">
        <f>IFERROR(VLOOKUP($A97,PRIORIDAD_UNO[[Nombre del requerimiento]:[Fin Producción]],20,FALSE),"")</f>
        <v/>
      </c>
      <c r="L97" s="65"/>
      <c r="M97" s="65" t="str">
        <f>IFERROR(VLOOKUP($A97,PRIORIDAD_UNO[[Nombre del requerimiento]:[Fin Producción]],21,FALSE),"")</f>
        <v/>
      </c>
      <c r="N97" s="65"/>
    </row>
    <row r="98" spans="1:14" ht="43.2">
      <c r="A98" s="62" t="s">
        <v>238</v>
      </c>
      <c r="B98" s="64" t="str">
        <f>IFERROR(
VLOOKUP(A98,PRIORIDAD_UNO[[Nombre del requerimiento]:[Tamaño]],5,FALSE),"")</f>
        <v>Extra Grande</v>
      </c>
      <c r="C98" s="65"/>
      <c r="D98" s="66" t="str">
        <f>IF(ISBLANK(A98),"",
IFERROR(IF(VLOOKUP($A98,PRIORIDAD_UNO[[Nombre del requerimiento]:[Fin Producción]],6,FALSE)=0,"",VLOOKUP($A98,PRIORIDAD_UNO[[Nombre del requerimiento]:[Fin Producción]],6,FALSE)),"No está en hoja Prioridad 1"))</f>
        <v>Productos e Inclusión Financiera</v>
      </c>
      <c r="E98" s="65">
        <f>IFERROR(IF(VLOOKUP($A98,PRIORIDAD_UNO[[Nombre del requerimiento]:[Fin Producción]],17,FALSE)=0,"",VLOOKUP($A98,PRIORIDAD_UNO[[Nombre del requerimiento]:[Fin Producción]],17,FALSE)),"")</f>
        <v>46266</v>
      </c>
      <c r="F98" s="65"/>
      <c r="G98" s="65">
        <f>IFERROR(VLOOKUP($A98,PRIORIDAD_UNO[[Nombre del requerimiento]:[Fin Producción]],18,FALSE),"")</f>
        <v>46491</v>
      </c>
      <c r="H98" s="65"/>
      <c r="I98" s="65">
        <f>IFERROR(VLOOKUP($A98,PRIORIDAD_UNO[[Nombre del requerimiento]:[Fin Producción]],19,FALSE),"")</f>
        <v>46498</v>
      </c>
      <c r="J98" s="65"/>
      <c r="K98" s="65">
        <f>IFERROR(VLOOKUP($A98,PRIORIDAD_UNO[[Nombre del requerimiento]:[Fin Producción]],20,FALSE),"")</f>
        <v>46569</v>
      </c>
      <c r="L98" s="65"/>
      <c r="M98" s="65">
        <f>IFERROR(VLOOKUP($A98,PRIORIDAD_UNO[[Nombre del requerimiento]:[Fin Producción]],21,FALSE),"")</f>
        <v>46577</v>
      </c>
      <c r="N98" s="65"/>
    </row>
    <row r="99" spans="1:14" ht="57.6">
      <c r="A99" s="62" t="s">
        <v>236</v>
      </c>
      <c r="B99" s="64" t="str">
        <f>IFERROR(
VLOOKUP(A99,PRIORIDAD_UNO[[Nombre del requerimiento]:[Tamaño]],5,FALSE),"")</f>
        <v>No definido</v>
      </c>
      <c r="C99" s="65"/>
      <c r="D99" s="66" t="str">
        <f>IF(ISBLANK(A99),"",
IFERROR(IF(VLOOKUP($A99,PRIORIDAD_UNO[[Nombre del requerimiento]:[Fin Producción]],6,FALSE)=0,"",VLOOKUP($A99,PRIORIDAD_UNO[[Nombre del requerimiento]:[Fin Producción]],6,FALSE)),"No está en hoja Prioridad 1"))</f>
        <v>Operaciones</v>
      </c>
      <c r="E99" s="65" t="str">
        <f>IFERROR(IF(VLOOKUP($A99,PRIORIDAD_UNO[[Nombre del requerimiento]:[Fin Producción]],17,FALSE)=0,"",VLOOKUP($A99,PRIORIDAD_UNO[[Nombre del requerimiento]:[Fin Producción]],17,FALSE)),"")</f>
        <v/>
      </c>
      <c r="F99" s="65"/>
      <c r="G99" s="65" t="str">
        <f>IFERROR(VLOOKUP($A99,PRIORIDAD_UNO[[Nombre del requerimiento]:[Fin Producción]],18,FALSE),"")</f>
        <v/>
      </c>
      <c r="H99" s="65"/>
      <c r="I99" s="65" t="str">
        <f>IFERROR(VLOOKUP($A99,PRIORIDAD_UNO[[Nombre del requerimiento]:[Fin Producción]],19,FALSE),"")</f>
        <v/>
      </c>
      <c r="J99" s="65"/>
      <c r="K99" s="65" t="str">
        <f>IFERROR(VLOOKUP($A99,PRIORIDAD_UNO[[Nombre del requerimiento]:[Fin Producción]],20,FALSE),"")</f>
        <v/>
      </c>
      <c r="L99" s="65"/>
      <c r="M99" s="65" t="str">
        <f>IFERROR(VLOOKUP($A99,PRIORIDAD_UNO[[Nombre del requerimiento]:[Fin Producción]],21,FALSE),"")</f>
        <v/>
      </c>
      <c r="N99" s="65"/>
    </row>
    <row r="100" spans="1:14" ht="72">
      <c r="A100" s="62" t="s">
        <v>232</v>
      </c>
      <c r="B100" s="64" t="str">
        <f>IFERROR(
VLOOKUP(A100,PRIORIDAD_UNO[[Nombre del requerimiento]:[Tamaño]],5,FALSE),"")</f>
        <v>Grande</v>
      </c>
      <c r="C100" s="65"/>
      <c r="D100" s="66" t="str">
        <f>IF(ISBLANK(A100),"",
IFERROR(IF(VLOOKUP($A100,PRIORIDAD_UNO[[Nombre del requerimiento]:[Fin Producción]],6,FALSE)=0,"",VLOOKUP($A100,PRIORIDAD_UNO[[Nombre del requerimiento]:[Fin Producción]],6,FALSE)),"No está en hoja Prioridad 1"))</f>
        <v>Operaciones</v>
      </c>
      <c r="E100" s="65">
        <f>IFERROR(IF(VLOOKUP($A100,PRIORIDAD_UNO[[Nombre del requerimiento]:[Fin Producción]],17,FALSE)=0,"",VLOOKUP($A100,PRIORIDAD_UNO[[Nombre del requerimiento]:[Fin Producción]],17,FALSE)),"")</f>
        <v>46237</v>
      </c>
      <c r="F100" s="65"/>
      <c r="G100" s="65">
        <f>IFERROR(VLOOKUP($A100,PRIORIDAD_UNO[[Nombre del requerimiento]:[Fin Producción]],18,FALSE),"")</f>
        <v>46399</v>
      </c>
      <c r="H100" s="65"/>
      <c r="I100" s="65">
        <f>IFERROR(VLOOKUP($A100,PRIORIDAD_UNO[[Nombre del requerimiento]:[Fin Producción]],19,FALSE),"")</f>
        <v>46406</v>
      </c>
      <c r="J100" s="65"/>
      <c r="K100" s="65">
        <f>IFERROR(VLOOKUP($A100,PRIORIDAD_UNO[[Nombre del requerimiento]:[Fin Producción]],20,FALSE),"")</f>
        <v>46478</v>
      </c>
      <c r="L100" s="65"/>
      <c r="M100" s="65">
        <f>IFERROR(VLOOKUP($A100,PRIORIDAD_UNO[[Nombre del requerimiento]:[Fin Producción]],21,FALSE),"")</f>
        <v>46485</v>
      </c>
      <c r="N100" s="65"/>
    </row>
    <row r="101" spans="1:14" ht="57.6">
      <c r="A101" s="62" t="s">
        <v>228</v>
      </c>
      <c r="B101" s="64" t="str">
        <f>IFERROR(
VLOOKUP(A101,PRIORIDAD_UNO[[Nombre del requerimiento]:[Tamaño]],5,FALSE),"")</f>
        <v>Proyecto</v>
      </c>
      <c r="C101" s="65"/>
      <c r="D101" s="66" t="str">
        <f>IF(ISBLANK(A101),"",
IFERROR(IF(VLOOKUP($A101,PRIORIDAD_UNO[[Nombre del requerimiento]:[Fin Producción]],6,FALSE)=0,"",VLOOKUP($A101,PRIORIDAD_UNO[[Nombre del requerimiento]:[Fin Producción]],6,FALSE)),"No está en hoja Prioridad 1"))</f>
        <v>Red de Agencias</v>
      </c>
      <c r="E101" s="65">
        <f>IFERROR(IF(VLOOKUP($A101,PRIORIDAD_UNO[[Nombre del requerimiento]:[Fin Producción]],17,FALSE)=0,"",VLOOKUP($A101,PRIORIDAD_UNO[[Nombre del requerimiento]:[Fin Producción]],17,FALSE)),"")</f>
        <v>46266</v>
      </c>
      <c r="F101" s="65"/>
      <c r="G101" s="65">
        <f>IFERROR(VLOOKUP($A101,PRIORIDAD_UNO[[Nombre del requerimiento]:[Fin Producción]],18,FALSE),"")</f>
        <v>46521</v>
      </c>
      <c r="H101" s="65"/>
      <c r="I101" s="65">
        <f>IFERROR(VLOOKUP($A101,PRIORIDAD_UNO[[Nombre del requerimiento]:[Fin Producción]],19,FALSE),"")</f>
        <v>46528</v>
      </c>
      <c r="J101" s="65"/>
      <c r="K101" s="65">
        <f>IFERROR(VLOOKUP($A101,PRIORIDAD_UNO[[Nombre del requerimiento]:[Fin Producción]],20,FALSE),"")</f>
        <v>46605</v>
      </c>
      <c r="L101" s="65"/>
      <c r="M101" s="65">
        <f>IFERROR(VLOOKUP($A101,PRIORIDAD_UNO[[Nombre del requerimiento]:[Fin Producción]],21,FALSE),"")</f>
        <v>46615</v>
      </c>
      <c r="N101" s="65"/>
    </row>
    <row r="102" spans="1:14" ht="43.2">
      <c r="A102" s="62" t="s">
        <v>225</v>
      </c>
      <c r="B102" s="64" t="str">
        <f>IFERROR(
VLOOKUP(A102,PRIORIDAD_UNO[[Nombre del requerimiento]:[Tamaño]],5,FALSE),"")</f>
        <v>Extra Grande</v>
      </c>
      <c r="C102" s="65"/>
      <c r="D102" s="66" t="str">
        <f>IF(ISBLANK(A102),"",
IFERROR(IF(VLOOKUP($A102,PRIORIDAD_UNO[[Nombre del requerimiento]:[Fin Producción]],6,FALSE)=0,"",VLOOKUP($A102,PRIORIDAD_UNO[[Nombre del requerimiento]:[Fin Producción]],6,FALSE)),"No está en hoja Prioridad 1"))</f>
        <v>Operaciones</v>
      </c>
      <c r="E102" s="65">
        <f>IFERROR(IF(VLOOKUP($A102,PRIORIDAD_UNO[[Nombre del requerimiento]:[Fin Producción]],17,FALSE)=0,"",VLOOKUP($A102,PRIORIDAD_UNO[[Nombre del requerimiento]:[Fin Producción]],17,FALSE)),"")</f>
        <v>46391</v>
      </c>
      <c r="F102" s="65"/>
      <c r="G102" s="65">
        <f>IFERROR(VLOOKUP($A102,PRIORIDAD_UNO[[Nombre del requerimiento]:[Fin Producción]],18,FALSE),"")</f>
        <v>46617</v>
      </c>
      <c r="H102" s="65"/>
      <c r="I102" s="65">
        <f>IFERROR(VLOOKUP($A102,PRIORIDAD_UNO[[Nombre del requerimiento]:[Fin Producción]],19,FALSE),"")</f>
        <v>46624</v>
      </c>
      <c r="J102" s="65"/>
      <c r="K102" s="65">
        <f>IFERROR(VLOOKUP($A102,PRIORIDAD_UNO[[Nombre del requerimiento]:[Fin Producción]],20,FALSE),"")</f>
        <v>46699</v>
      </c>
      <c r="L102" s="65"/>
      <c r="M102" s="65">
        <f>IFERROR(VLOOKUP($A102,PRIORIDAD_UNO[[Nombre del requerimiento]:[Fin Producción]],21,FALSE),"")</f>
        <v>46706</v>
      </c>
      <c r="N102" s="65"/>
    </row>
    <row r="103" spans="1:14" ht="28.8">
      <c r="A103" s="62" t="s">
        <v>221</v>
      </c>
      <c r="B103" s="64" t="str">
        <f>IFERROR(
VLOOKUP(A103,PRIORIDAD_UNO[[Nombre del requerimiento]:[Tamaño]],5,FALSE),"")</f>
        <v>No definido</v>
      </c>
      <c r="C103" s="65"/>
      <c r="D103" s="66" t="str">
        <f>IF(ISBLANK(A103),"",
IFERROR(IF(VLOOKUP($A103,PRIORIDAD_UNO[[Nombre del requerimiento]:[Fin Producción]],6,FALSE)=0,"",VLOOKUP($A103,PRIORIDAD_UNO[[Nombre del requerimiento]:[Fin Producción]],6,FALSE)),"No está en hoja Prioridad 1"))</f>
        <v>Operaciones</v>
      </c>
      <c r="E103" s="65" t="str">
        <f>IFERROR(IF(VLOOKUP($A103,PRIORIDAD_UNO[[Nombre del requerimiento]:[Fin Producción]],17,FALSE)=0,"",VLOOKUP($A103,PRIORIDAD_UNO[[Nombre del requerimiento]:[Fin Producción]],17,FALSE)),"")</f>
        <v/>
      </c>
      <c r="F103" s="65"/>
      <c r="G103" s="65" t="str">
        <f>IFERROR(VLOOKUP($A103,PRIORIDAD_UNO[[Nombre del requerimiento]:[Fin Producción]],18,FALSE),"")</f>
        <v/>
      </c>
      <c r="H103" s="65"/>
      <c r="I103" s="65" t="str">
        <f>IFERROR(VLOOKUP($A103,PRIORIDAD_UNO[[Nombre del requerimiento]:[Fin Producción]],19,FALSE),"")</f>
        <v/>
      </c>
      <c r="J103" s="65"/>
      <c r="K103" s="65" t="str">
        <f>IFERROR(VLOOKUP($A103,PRIORIDAD_UNO[[Nombre del requerimiento]:[Fin Producción]],20,FALSE),"")</f>
        <v/>
      </c>
      <c r="L103" s="65"/>
      <c r="M103" s="65" t="str">
        <f>IFERROR(VLOOKUP($A103,PRIORIDAD_UNO[[Nombre del requerimiento]:[Fin Producción]],21,FALSE),"")</f>
        <v/>
      </c>
      <c r="N103" s="65"/>
    </row>
    <row r="104" spans="1:14" ht="100.8">
      <c r="A104" s="62" t="s">
        <v>219</v>
      </c>
      <c r="B104" s="64" t="str">
        <f>IFERROR(
VLOOKUP(A104,PRIORIDAD_UNO[[Nombre del requerimiento]:[Tamaño]],5,FALSE),"")</f>
        <v>Mediano</v>
      </c>
      <c r="C104" s="65"/>
      <c r="D104" s="66" t="str">
        <f>IF(ISBLANK(A104),"",
IFERROR(IF(VLOOKUP($A104,PRIORIDAD_UNO[[Nombre del requerimiento]:[Fin Producción]],6,FALSE)=0,"",VLOOKUP($A104,PRIORIDAD_UNO[[Nombre del requerimiento]:[Fin Producción]],6,FALSE)),"No está en hoja Prioridad 1"))</f>
        <v>Operaciones</v>
      </c>
      <c r="E104" s="65">
        <f>IFERROR(IF(VLOOKUP($A104,PRIORIDAD_UNO[[Nombre del requerimiento]:[Fin Producción]],17,FALSE)=0,"",VLOOKUP($A104,PRIORIDAD_UNO[[Nombre del requerimiento]:[Fin Producción]],17,FALSE)),"")</f>
        <v>46216</v>
      </c>
      <c r="F104" s="65"/>
      <c r="G104" s="65">
        <f>IFERROR(VLOOKUP($A104,PRIORIDAD_UNO[[Nombre del requerimiento]:[Fin Producción]],18,FALSE),"")</f>
        <v>46315</v>
      </c>
      <c r="H104" s="65"/>
      <c r="I104" s="65">
        <f>IFERROR(VLOOKUP($A104,PRIORIDAD_UNO[[Nombre del requerimiento]:[Fin Producción]],19,FALSE),"")</f>
        <v>46322</v>
      </c>
      <c r="J104" s="65"/>
      <c r="K104" s="65">
        <f>IFERROR(VLOOKUP($A104,PRIORIDAD_UNO[[Nombre del requerimiento]:[Fin Producción]],20,FALSE),"")</f>
        <v>46380</v>
      </c>
      <c r="L104" s="65"/>
      <c r="M104" s="65">
        <f>IFERROR(VLOOKUP($A104,PRIORIDAD_UNO[[Nombre del requerimiento]:[Fin Producción]],21,FALSE),"")</f>
        <v>46391</v>
      </c>
      <c r="N104" s="65"/>
    </row>
    <row r="105" spans="1:14" ht="28.8">
      <c r="A105" s="62" t="s">
        <v>218</v>
      </c>
      <c r="B105" s="64" t="str">
        <f>IFERROR(
VLOOKUP(A105,PRIORIDAD_UNO[[Nombre del requerimiento]:[Tamaño]],5,FALSE),"")</f>
        <v>Mediano</v>
      </c>
      <c r="C105" s="65"/>
      <c r="D105" s="66" t="str">
        <f>IF(ISBLANK(A105),"",
IFERROR(IF(VLOOKUP($A105,PRIORIDAD_UNO[[Nombre del requerimiento]:[Fin Producción]],6,FALSE)=0,"",VLOOKUP($A105,PRIORIDAD_UNO[[Nombre del requerimiento]:[Fin Producción]],6,FALSE)),"No está en hoja Prioridad 1"))</f>
        <v>Banca Digital</v>
      </c>
      <c r="E105" s="65">
        <f>IFERROR(IF(VLOOKUP($A105,PRIORIDAD_UNO[[Nombre del requerimiento]:[Fin Producción]],17,FALSE)=0,"",VLOOKUP($A105,PRIORIDAD_UNO[[Nombre del requerimiento]:[Fin Producción]],17,FALSE)),"")</f>
        <v>46204</v>
      </c>
      <c r="F105" s="65"/>
      <c r="G105" s="65">
        <f>IFERROR(VLOOKUP($A105,PRIORIDAD_UNO[[Nombre del requerimiento]:[Fin Producción]],18,FALSE),"")</f>
        <v>46302</v>
      </c>
      <c r="H105" s="65"/>
      <c r="I105" s="65">
        <f>IFERROR(VLOOKUP($A105,PRIORIDAD_UNO[[Nombre del requerimiento]:[Fin Producción]],19,FALSE),"")</f>
        <v>46310</v>
      </c>
      <c r="J105" s="65"/>
      <c r="K105" s="65">
        <f>IFERROR(VLOOKUP($A105,PRIORIDAD_UNO[[Nombre del requerimiento]:[Fin Producción]],20,FALSE),"")</f>
        <v>46370</v>
      </c>
      <c r="L105" s="65"/>
      <c r="M105" s="65">
        <f>IFERROR(VLOOKUP($A105,PRIORIDAD_UNO[[Nombre del requerimiento]:[Fin Producción]],21,FALSE),"")</f>
        <v>46377</v>
      </c>
      <c r="N105" s="65"/>
    </row>
    <row r="106" spans="1:14" ht="28.8">
      <c r="A106" s="7" t="s">
        <v>472</v>
      </c>
      <c r="B106" s="64" t="str">
        <f>IFERROR(
VLOOKUP(A106,PRIORIDAD_UNO[[Nombre del requerimiento]:[Tamaño]],5,FALSE),"")</f>
        <v/>
      </c>
      <c r="C106" s="65"/>
      <c r="D106" s="66" t="str">
        <f>IF(ISBLANK(A106),"",
IFERROR(IF(VLOOKUP($A106,PRIORIDAD_UNO[[Nombre del requerimiento]:[Fin Producción]],6,FALSE)=0,"",VLOOKUP($A106,PRIORIDAD_UNO[[Nombre del requerimiento]:[Fin Producción]],6,FALSE)),"No está en hoja Prioridad 1"))</f>
        <v>No está en hoja Prioridad 1</v>
      </c>
      <c r="E106" s="65" t="str">
        <f>IFERROR(IF(VLOOKUP($A106,PRIORIDAD_UNO[[Nombre del requerimiento]:[Fin Producción]],17,FALSE)=0,"",VLOOKUP($A106,PRIORIDAD_UNO[[Nombre del requerimiento]:[Fin Producción]],17,FALSE)),"")</f>
        <v/>
      </c>
      <c r="F106" s="65"/>
      <c r="G106" s="65" t="str">
        <f>IFERROR(VLOOKUP($A106,PRIORIDAD_UNO[[Nombre del requerimiento]:[Fin Producción]],18,FALSE),"")</f>
        <v/>
      </c>
      <c r="H106" s="65"/>
      <c r="I106" s="65" t="str">
        <f>IFERROR(VLOOKUP($A106,PRIORIDAD_UNO[[Nombre del requerimiento]:[Fin Producción]],19,FALSE),"")</f>
        <v/>
      </c>
      <c r="J106" s="65"/>
      <c r="K106" s="65" t="str">
        <f>IFERROR(VLOOKUP($A106,PRIORIDAD_UNO[[Nombre del requerimiento]:[Fin Producción]],20,FALSE),"")</f>
        <v/>
      </c>
      <c r="L106" s="65"/>
      <c r="M106" s="65" t="str">
        <f>IFERROR(VLOOKUP($A106,PRIORIDAD_UNO[[Nombre del requerimiento]:[Fin Producción]],21,FALSE),"")</f>
        <v/>
      </c>
      <c r="N106" s="65"/>
    </row>
    <row r="107" spans="1:14" ht="28.8">
      <c r="A107" s="62" t="s">
        <v>216</v>
      </c>
      <c r="B107" s="64" t="str">
        <f>IFERROR(
VLOOKUP(A107,PRIORIDAD_UNO[[Nombre del requerimiento]:[Tamaño]],5,FALSE),"")</f>
        <v>Mediano</v>
      </c>
      <c r="C107" s="65"/>
      <c r="D107" s="66" t="str">
        <f>IF(ISBLANK(A107),"",
IFERROR(IF(VLOOKUP($A107,PRIORIDAD_UNO[[Nombre del requerimiento]:[Fin Producción]],6,FALSE)=0,"",VLOOKUP($A107,PRIORIDAD_UNO[[Nombre del requerimiento]:[Fin Producción]],6,FALSE)),"No está en hoja Prioridad 1"))</f>
        <v>Banca Digital</v>
      </c>
      <c r="E107" s="65">
        <f>IFERROR(IF(VLOOKUP($A107,PRIORIDAD_UNO[[Nombre del requerimiento]:[Fin Producción]],17,FALSE)=0,"",VLOOKUP($A107,PRIORIDAD_UNO[[Nombre del requerimiento]:[Fin Producción]],17,FALSE)),"")</f>
        <v>46294</v>
      </c>
      <c r="F107" s="65"/>
      <c r="G107" s="65">
        <f>IFERROR(VLOOKUP($A107,PRIORIDAD_UNO[[Nombre del requerimiento]:[Fin Producción]],18,FALSE),"")</f>
        <v>46393</v>
      </c>
      <c r="H107" s="65"/>
      <c r="I107" s="65">
        <f>IFERROR(VLOOKUP($A107,PRIORIDAD_UNO[[Nombre del requerimiento]:[Fin Producción]],19,FALSE),"")</f>
        <v>46400</v>
      </c>
      <c r="J107" s="65"/>
      <c r="K107" s="65">
        <f>IFERROR(VLOOKUP($A107,PRIORIDAD_UNO[[Nombre del requerimiento]:[Fin Producción]],20,FALSE),"")</f>
        <v>46456</v>
      </c>
      <c r="L107" s="65"/>
      <c r="M107" s="65">
        <f>IFERROR(VLOOKUP($A107,PRIORIDAD_UNO[[Nombre del requerimiento]:[Fin Producción]],21,FALSE),"")</f>
        <v>46463</v>
      </c>
      <c r="N107" s="65"/>
    </row>
    <row r="108" spans="1:14" ht="28.8">
      <c r="A108" s="62" t="s">
        <v>473</v>
      </c>
      <c r="B108" s="64" t="str">
        <f>IFERROR(
VLOOKUP(A108,PRIORIDAD_UNO[[Nombre del requerimiento]:[Tamaño]],5,FALSE),"")</f>
        <v/>
      </c>
      <c r="C108" s="65"/>
      <c r="D108" s="66" t="str">
        <f>IF(ISBLANK(A108),"",
IFERROR(IF(VLOOKUP($A108,PRIORIDAD_UNO[[Nombre del requerimiento]:[Fin Producción]],6,FALSE)=0,"",VLOOKUP($A108,PRIORIDAD_UNO[[Nombre del requerimiento]:[Fin Producción]],6,FALSE)),"No está en hoja Prioridad 1"))</f>
        <v>No está en hoja Prioridad 1</v>
      </c>
      <c r="E108" s="65" t="str">
        <f>IFERROR(IF(VLOOKUP($A108,PRIORIDAD_UNO[[Nombre del requerimiento]:[Fin Producción]],17,FALSE)=0,"",VLOOKUP($A108,PRIORIDAD_UNO[[Nombre del requerimiento]:[Fin Producción]],17,FALSE)),"")</f>
        <v/>
      </c>
      <c r="F108" s="65"/>
      <c r="G108" s="65" t="str">
        <f>IFERROR(VLOOKUP($A108,PRIORIDAD_UNO[[Nombre del requerimiento]:[Fin Producción]],18,FALSE),"")</f>
        <v/>
      </c>
      <c r="H108" s="65"/>
      <c r="I108" s="65" t="str">
        <f>IFERROR(VLOOKUP($A108,PRIORIDAD_UNO[[Nombre del requerimiento]:[Fin Producción]],19,FALSE),"")</f>
        <v/>
      </c>
      <c r="J108" s="65"/>
      <c r="K108" s="65" t="str">
        <f>IFERROR(VLOOKUP($A108,PRIORIDAD_UNO[[Nombre del requerimiento]:[Fin Producción]],20,FALSE),"")</f>
        <v/>
      </c>
      <c r="L108" s="65"/>
      <c r="M108" s="65" t="str">
        <f>IFERROR(VLOOKUP($A108,PRIORIDAD_UNO[[Nombre del requerimiento]:[Fin Producción]],21,FALSE),"")</f>
        <v/>
      </c>
      <c r="N108" s="65"/>
    </row>
    <row r="109" spans="1:14" ht="72">
      <c r="A109" s="62" t="s">
        <v>213</v>
      </c>
      <c r="B109" s="64" t="str">
        <f>IFERROR(
VLOOKUP(A109,PRIORIDAD_UNO[[Nombre del requerimiento]:[Tamaño]],5,FALSE),"")</f>
        <v>Pequeño</v>
      </c>
      <c r="C109" s="65"/>
      <c r="D109" s="66" t="str">
        <f>IF(ISBLANK(A109),"",
IFERROR(IF(VLOOKUP($A109,PRIORIDAD_UNO[[Nombre del requerimiento]:[Fin Producción]],6,FALSE)=0,"",VLOOKUP($A109,PRIORIDAD_UNO[[Nombre del requerimiento]:[Fin Producción]],6,FALSE)),"No está en hoja Prioridad 1"))</f>
        <v>Operaciones</v>
      </c>
      <c r="E109" s="65">
        <f>IFERROR(IF(VLOOKUP($A109,PRIORIDAD_UNO[[Nombre del requerimiento]:[Fin Producción]],17,FALSE)=0,"",VLOOKUP($A109,PRIORIDAD_UNO[[Nombre del requerimiento]:[Fin Producción]],17,FALSE)),"")</f>
        <v>46174</v>
      </c>
      <c r="F109" s="65"/>
      <c r="G109" s="65">
        <f>IFERROR(VLOOKUP($A109,PRIORIDAD_UNO[[Nombre del requerimiento]:[Fin Producción]],18,FALSE),"")</f>
        <v>46217</v>
      </c>
      <c r="H109" s="65"/>
      <c r="I109" s="65">
        <f>IFERROR(VLOOKUP($A109,PRIORIDAD_UNO[[Nombre del requerimiento]:[Fin Producción]],19,FALSE),"")</f>
        <v>46224</v>
      </c>
      <c r="J109" s="65"/>
      <c r="K109" s="65">
        <f>IFERROR(VLOOKUP($A109,PRIORIDAD_UNO[[Nombre del requerimiento]:[Fin Producción]],20,FALSE),"")</f>
        <v>46272</v>
      </c>
      <c r="L109" s="65"/>
      <c r="M109" s="65">
        <f>IFERROR(VLOOKUP($A109,PRIORIDAD_UNO[[Nombre del requerimiento]:[Fin Producción]],21,FALSE),"")</f>
        <v>46279</v>
      </c>
      <c r="N109" s="65"/>
    </row>
    <row r="110" spans="1:14">
      <c r="A110" s="62" t="s">
        <v>212</v>
      </c>
      <c r="B110" s="64" t="str">
        <f>IFERROR(
VLOOKUP(A110,PRIORIDAD_UNO[[Nombre del requerimiento]:[Tamaño]],5,FALSE),"")</f>
        <v>Mediano</v>
      </c>
      <c r="C110" s="65"/>
      <c r="D110" s="66" t="str">
        <f>IF(ISBLANK(A110),"",
IFERROR(IF(VLOOKUP($A110,PRIORIDAD_UNO[[Nombre del requerimiento]:[Fin Producción]],6,FALSE)=0,"",VLOOKUP($A110,PRIORIDAD_UNO[[Nombre del requerimiento]:[Fin Producción]],6,FALSE)),"No está en hoja Prioridad 1"))</f>
        <v>Banca Digital</v>
      </c>
      <c r="E110" s="65">
        <f>IFERROR(IF(VLOOKUP($A110,PRIORIDAD_UNO[[Nombre del requerimiento]:[Fin Producción]],17,FALSE)=0,"",VLOOKUP($A110,PRIORIDAD_UNO[[Nombre del requerimiento]:[Fin Producción]],17,FALSE)),"")</f>
        <v>46266</v>
      </c>
      <c r="F110" s="65"/>
      <c r="G110" s="65">
        <f>IFERROR(VLOOKUP($A110,PRIORIDAD_UNO[[Nombre del requerimiento]:[Fin Producción]],18,FALSE),"")</f>
        <v>46359</v>
      </c>
      <c r="H110" s="65"/>
      <c r="I110" s="65">
        <f>IFERROR(VLOOKUP($A110,PRIORIDAD_UNO[[Nombre del requerimiento]:[Fin Producción]],19,FALSE),"")</f>
        <v>46370</v>
      </c>
      <c r="J110" s="65"/>
      <c r="K110" s="65">
        <f>IFERROR(VLOOKUP($A110,PRIORIDAD_UNO[[Nombre del requerimiento]:[Fin Producción]],20,FALSE),"")</f>
        <v>46428</v>
      </c>
      <c r="L110" s="65"/>
      <c r="M110" s="65">
        <f>IFERROR(VLOOKUP($A110,PRIORIDAD_UNO[[Nombre del requerimiento]:[Fin Producción]],21,FALSE),"")</f>
        <v>46435</v>
      </c>
      <c r="N110" s="65"/>
    </row>
    <row r="111" spans="1:14" ht="43.2">
      <c r="A111" s="62" t="s">
        <v>208</v>
      </c>
      <c r="B111" s="64" t="str">
        <f>IFERROR(
VLOOKUP(A111,PRIORIDAD_UNO[[Nombre del requerimiento]:[Tamaño]],5,FALSE),"")</f>
        <v>Pequeño</v>
      </c>
      <c r="C111" s="65"/>
      <c r="D111" s="66" t="str">
        <f>IF(ISBLANK(A111),"",
IFERROR(IF(VLOOKUP($A111,PRIORIDAD_UNO[[Nombre del requerimiento]:[Fin Producción]],6,FALSE)=0,"",VLOOKUP($A111,PRIORIDAD_UNO[[Nombre del requerimiento]:[Fin Producción]],6,FALSE)),"No está en hoja Prioridad 1"))</f>
        <v>Operaciones</v>
      </c>
      <c r="E111" s="65">
        <f>IFERROR(IF(VLOOKUP($A111,PRIORIDAD_UNO[[Nombre del requerimiento]:[Fin Producción]],17,FALSE)=0,"",VLOOKUP($A111,PRIORIDAD_UNO[[Nombre del requerimiento]:[Fin Producción]],17,FALSE)),"")</f>
        <v>46174</v>
      </c>
      <c r="F111" s="65"/>
      <c r="G111" s="65">
        <f>IFERROR(VLOOKUP($A111,PRIORIDAD_UNO[[Nombre del requerimiento]:[Fin Producción]],18,FALSE),"")</f>
        <v>46217</v>
      </c>
      <c r="H111" s="65"/>
      <c r="I111" s="65">
        <f>IFERROR(VLOOKUP($A111,PRIORIDAD_UNO[[Nombre del requerimiento]:[Fin Producción]],19,FALSE),"")</f>
        <v>46224</v>
      </c>
      <c r="J111" s="65"/>
      <c r="K111" s="65">
        <f>IFERROR(VLOOKUP($A111,PRIORIDAD_UNO[[Nombre del requerimiento]:[Fin Producción]],20,FALSE),"")</f>
        <v>46272</v>
      </c>
      <c r="L111" s="65"/>
      <c r="M111" s="65">
        <f>IFERROR(VLOOKUP($A111,PRIORIDAD_UNO[[Nombre del requerimiento]:[Fin Producción]],21,FALSE),"")</f>
        <v>46279</v>
      </c>
      <c r="N111" s="65"/>
    </row>
    <row r="112" spans="1:14" ht="28.8">
      <c r="A112" s="62" t="s">
        <v>203</v>
      </c>
      <c r="B112" s="64" t="str">
        <f>IFERROR(
VLOOKUP(A112,PRIORIDAD_UNO[[Nombre del requerimiento]:[Tamaño]],5,FALSE),"")</f>
        <v>Mediano</v>
      </c>
      <c r="C112" s="65"/>
      <c r="D112" s="66" t="str">
        <f>IF(ISBLANK(A112),"",
IFERROR(IF(VLOOKUP($A112,PRIORIDAD_UNO[[Nombre del requerimiento]:[Fin Producción]],6,FALSE)=0,"",VLOOKUP($A112,PRIORIDAD_UNO[[Nombre del requerimiento]:[Fin Producción]],6,FALSE)),"No está en hoja Prioridad 1"))</f>
        <v>Productos e Inclusión Financiera</v>
      </c>
      <c r="E112" s="65" t="str">
        <f>IFERROR(IF(VLOOKUP($A112,PRIORIDAD_UNO[[Nombre del requerimiento]:[Fin Producción]],17,FALSE)=0,"",VLOOKUP($A112,PRIORIDAD_UNO[[Nombre del requerimiento]:[Fin Producción]],17,FALSE)),"")</f>
        <v/>
      </c>
      <c r="F112" s="65"/>
      <c r="G112" s="65" t="str">
        <f>IFERROR(VLOOKUP($A112,PRIORIDAD_UNO[[Nombre del requerimiento]:[Fin Producción]],18,FALSE),"")</f>
        <v/>
      </c>
      <c r="H112" s="65"/>
      <c r="I112" s="65" t="str">
        <f>IFERROR(VLOOKUP($A112,PRIORIDAD_UNO[[Nombre del requerimiento]:[Fin Producción]],19,FALSE),"")</f>
        <v/>
      </c>
      <c r="J112" s="65"/>
      <c r="K112" s="65" t="str">
        <f>IFERROR(VLOOKUP($A112,PRIORIDAD_UNO[[Nombre del requerimiento]:[Fin Producción]],20,FALSE),"")</f>
        <v/>
      </c>
      <c r="L112" s="65"/>
      <c r="M112" s="65" t="str">
        <f>IFERROR(VLOOKUP($A112,PRIORIDAD_UNO[[Nombre del requerimiento]:[Fin Producción]],21,FALSE),"")</f>
        <v/>
      </c>
      <c r="N112" s="65"/>
    </row>
    <row r="113" spans="1:14">
      <c r="A113" s="62" t="s">
        <v>201</v>
      </c>
      <c r="B113" s="64" t="str">
        <f>IFERROR(
VLOOKUP(A113,PRIORIDAD_UNO[[Nombre del requerimiento]:[Tamaño]],5,FALSE),"")</f>
        <v>No definido</v>
      </c>
      <c r="C113" s="65"/>
      <c r="D113" s="66" t="str">
        <f>IF(ISBLANK(A113),"",
IFERROR(IF(VLOOKUP($A113,PRIORIDAD_UNO[[Nombre del requerimiento]:[Fin Producción]],6,FALSE)=0,"",VLOOKUP($A113,PRIORIDAD_UNO[[Nombre del requerimiento]:[Fin Producción]],6,FALSE)),"No está en hoja Prioridad 1"))</f>
        <v>Banca Digital</v>
      </c>
      <c r="E113" s="65" t="str">
        <f>IFERROR(IF(VLOOKUP($A113,PRIORIDAD_UNO[[Nombre del requerimiento]:[Fin Producción]],17,FALSE)=0,"",VLOOKUP($A113,PRIORIDAD_UNO[[Nombre del requerimiento]:[Fin Producción]],17,FALSE)),"")</f>
        <v/>
      </c>
      <c r="F113" s="65"/>
      <c r="G113" s="65"/>
      <c r="H113" s="65"/>
      <c r="I113" s="65"/>
      <c r="J113" s="65"/>
      <c r="K113" s="65"/>
      <c r="L113" s="65"/>
      <c r="M113" s="65"/>
      <c r="N113" s="65"/>
    </row>
    <row r="114" spans="1:14" ht="28.8">
      <c r="A114" s="62" t="s">
        <v>474</v>
      </c>
      <c r="B114" s="64" t="str">
        <f>IFERROR(
VLOOKUP(A114,PRIORIDAD_UNO[[Nombre del requerimiento]:[Tamaño]],5,FALSE),"")</f>
        <v/>
      </c>
      <c r="C114" s="65"/>
      <c r="D114" s="66" t="str">
        <f>IF(ISBLANK(A114),"",
IFERROR(IF(VLOOKUP($A114,PRIORIDAD_UNO[[Nombre del requerimiento]:[Fin Producción]],6,FALSE)=0,"",VLOOKUP($A114,PRIORIDAD_UNO[[Nombre del requerimiento]:[Fin Producción]],6,FALSE)),"No está en hoja Prioridad 1"))</f>
        <v>No está en hoja Prioridad 1</v>
      </c>
      <c r="E114" s="65" t="str">
        <f>IFERROR(IF(VLOOKUP($A114,PRIORIDAD_UNO[[Nombre del requerimiento]:[Fin Producción]],17,FALSE)=0,"",VLOOKUP($A114,PRIORIDAD_UNO[[Nombre del requerimiento]:[Fin Producción]],17,FALSE)),"")</f>
        <v/>
      </c>
      <c r="F114" s="65"/>
      <c r="G114" s="65" t="str">
        <f>IFERROR(VLOOKUP($A114,PRIORIDAD_UNO[[Nombre del requerimiento]:[Fin Producción]],18,FALSE),"")</f>
        <v/>
      </c>
      <c r="H114" s="65"/>
      <c r="I114" s="65" t="str">
        <f>IFERROR(VLOOKUP($A114,PRIORIDAD_UNO[[Nombre del requerimiento]:[Fin Producción]],19,FALSE),"")</f>
        <v/>
      </c>
      <c r="J114" s="65"/>
      <c r="K114" s="65" t="str">
        <f>IFERROR(VLOOKUP($A114,PRIORIDAD_UNO[[Nombre del requerimiento]:[Fin Producción]],20,FALSE),"")</f>
        <v/>
      </c>
      <c r="L114" s="65"/>
      <c r="M114" s="65" t="str">
        <f>IFERROR(VLOOKUP($A114,PRIORIDAD_UNO[[Nombre del requerimiento]:[Fin Producción]],21,FALSE),"")</f>
        <v/>
      </c>
      <c r="N114" s="65"/>
    </row>
    <row r="115" spans="1:14" ht="28.8">
      <c r="A115" s="62" t="s">
        <v>193</v>
      </c>
      <c r="B115" s="64" t="str">
        <f>IFERROR(
VLOOKUP(A115,PRIORIDAD_UNO[[Nombre del requerimiento]:[Tamaño]],5,FALSE),"")</f>
        <v>Mediano</v>
      </c>
      <c r="C115" s="65"/>
      <c r="D115" s="66" t="str">
        <f>IF(ISBLANK(A115),"",
IFERROR(IF(VLOOKUP($A115,PRIORIDAD_UNO[[Nombre del requerimiento]:[Fin Producción]],6,FALSE)=0,"",VLOOKUP($A115,PRIORIDAD_UNO[[Nombre del requerimiento]:[Fin Producción]],6,FALSE)),"No está en hoja Prioridad 1"))</f>
        <v>Banca Digital</v>
      </c>
      <c r="E115" s="65">
        <f>IFERROR(IF(VLOOKUP($A115,PRIORIDAD_UNO[[Nombre del requerimiento]:[Fin Producción]],17,FALSE)=0,"",VLOOKUP($A115,PRIORIDAD_UNO[[Nombre del requerimiento]:[Fin Producción]],17,FALSE)),"")</f>
        <v>46252</v>
      </c>
      <c r="F115" s="65"/>
      <c r="G115" s="65">
        <f>IFERROR(VLOOKUP($A115,PRIORIDAD_UNO[[Nombre del requerimiento]:[Fin Producción]],18,FALSE),"")</f>
        <v>46345</v>
      </c>
      <c r="H115" s="65"/>
      <c r="I115" s="65">
        <f>IFERROR(VLOOKUP($A115,PRIORIDAD_UNO[[Nombre del requerimiento]:[Fin Producción]],19,FALSE),"")</f>
        <v>46352</v>
      </c>
      <c r="J115" s="65"/>
      <c r="K115" s="65">
        <f>IFERROR(VLOOKUP($A115,PRIORIDAD_UNO[[Nombre del requerimiento]:[Fin Producción]],20,FALSE),"")</f>
        <v>46414</v>
      </c>
      <c r="L115" s="65"/>
      <c r="M115" s="65">
        <f>IFERROR(VLOOKUP($A115,PRIORIDAD_UNO[[Nombre del requerimiento]:[Fin Producción]],21,FALSE),"")</f>
        <v>46421</v>
      </c>
      <c r="N115" s="65"/>
    </row>
    <row r="116" spans="1:14" ht="28.8">
      <c r="A116" s="62" t="s">
        <v>191</v>
      </c>
      <c r="B116" s="64" t="str">
        <f>IFERROR(
VLOOKUP(A116,PRIORIDAD_UNO[[Nombre del requerimiento]:[Tamaño]],5,FALSE),"")</f>
        <v>Mediano</v>
      </c>
      <c r="C116" s="65"/>
      <c r="D116" s="66" t="str">
        <f>IF(ISBLANK(A116),"",
IFERROR(IF(VLOOKUP($A116,PRIORIDAD_UNO[[Nombre del requerimiento]:[Fin Producción]],6,FALSE)=0,"",VLOOKUP($A116,PRIORIDAD_UNO[[Nombre del requerimiento]:[Fin Producción]],6,FALSE)),"No está en hoja Prioridad 1"))</f>
        <v>Banca Digital</v>
      </c>
      <c r="E116" s="65">
        <f>IFERROR(IF(VLOOKUP($A116,PRIORIDAD_UNO[[Nombre del requerimiento]:[Fin Producción]],17,FALSE)=0,"",VLOOKUP($A116,PRIORIDAD_UNO[[Nombre del requerimiento]:[Fin Producción]],17,FALSE)),"")</f>
        <v>46252</v>
      </c>
      <c r="F116" s="65"/>
      <c r="G116" s="65">
        <f>IFERROR(VLOOKUP($A116,PRIORIDAD_UNO[[Nombre del requerimiento]:[Fin Producción]],18,FALSE),"")</f>
        <v>46345</v>
      </c>
      <c r="H116" s="65"/>
      <c r="I116" s="65">
        <f>IFERROR(VLOOKUP($A116,PRIORIDAD_UNO[[Nombre del requerimiento]:[Fin Producción]],19,FALSE),"")</f>
        <v>46352</v>
      </c>
      <c r="J116" s="65"/>
      <c r="K116" s="65">
        <f>IFERROR(VLOOKUP($A116,PRIORIDAD_UNO[[Nombre del requerimiento]:[Fin Producción]],20,FALSE),"")</f>
        <v>46414</v>
      </c>
      <c r="L116" s="65"/>
      <c r="M116" s="65">
        <f>IFERROR(VLOOKUP($A116,PRIORIDAD_UNO[[Nombre del requerimiento]:[Fin Producción]],21,FALSE),"")</f>
        <v>46421</v>
      </c>
      <c r="N116" s="65"/>
    </row>
    <row r="117" spans="1:14" ht="28.8">
      <c r="A117" s="62" t="s">
        <v>186</v>
      </c>
      <c r="B117" s="64" t="str">
        <f>IFERROR(
VLOOKUP(A117,PRIORIDAD_UNO[[Nombre del requerimiento]:[Tamaño]],5,FALSE),"")</f>
        <v>Mediano</v>
      </c>
      <c r="C117" s="65"/>
      <c r="D117" s="66" t="str">
        <f>IF(ISBLANK(A117),"",
IFERROR(IF(VLOOKUP($A117,PRIORIDAD_UNO[[Nombre del requerimiento]:[Fin Producción]],6,FALSE)=0,"",VLOOKUP($A117,PRIORIDAD_UNO[[Nombre del requerimiento]:[Fin Producción]],6,FALSE)),"No está en hoja Prioridad 1"))</f>
        <v>Operaciones</v>
      </c>
      <c r="E117" s="65">
        <f>IFERROR(IF(VLOOKUP($A117,PRIORIDAD_UNO[[Nombre del requerimiento]:[Fin Producción]],17,FALSE)=0,"",VLOOKUP($A117,PRIORIDAD_UNO[[Nombre del requerimiento]:[Fin Producción]],17,FALSE)),"")</f>
        <v>46237</v>
      </c>
      <c r="F117" s="65"/>
      <c r="G117" s="65">
        <f>IFERROR(VLOOKUP($A117,PRIORIDAD_UNO[[Nombre del requerimiento]:[Fin Producción]],18,FALSE),"")</f>
        <v>46331</v>
      </c>
      <c r="H117" s="65"/>
      <c r="I117" s="65">
        <f>IFERROR(VLOOKUP($A117,PRIORIDAD_UNO[[Nombre del requerimiento]:[Fin Producción]],19,FALSE),"")</f>
        <v>46338</v>
      </c>
      <c r="J117" s="65"/>
      <c r="K117" s="65">
        <f>IFERROR(VLOOKUP($A117,PRIORIDAD_UNO[[Nombre del requerimiento]:[Fin Producción]],20,FALSE),"")</f>
        <v>46400</v>
      </c>
      <c r="L117" s="65"/>
      <c r="M117" s="65">
        <f>IFERROR(VLOOKUP($A117,PRIORIDAD_UNO[[Nombre del requerimiento]:[Fin Producción]],21,FALSE),"")</f>
        <v>46407</v>
      </c>
      <c r="N117" s="65"/>
    </row>
    <row r="118" spans="1:14" ht="43.2">
      <c r="A118" s="62" t="s">
        <v>475</v>
      </c>
      <c r="B118" s="64" t="str">
        <f>IFERROR(
VLOOKUP(A118,PRIORIDAD_UNO[[Nombre del requerimiento]:[Tamaño]],5,FALSE),"")</f>
        <v/>
      </c>
      <c r="C118" s="65"/>
      <c r="D118" s="66" t="str">
        <f>IF(ISBLANK(A118),"",
IFERROR(IF(VLOOKUP($A118,PRIORIDAD_UNO[[Nombre del requerimiento]:[Fin Producción]],6,FALSE)=0,"",VLOOKUP($A118,PRIORIDAD_UNO[[Nombre del requerimiento]:[Fin Producción]],6,FALSE)),"No está en hoja Prioridad 1"))</f>
        <v>No está en hoja Prioridad 1</v>
      </c>
      <c r="E118" s="65" t="str">
        <f>IFERROR(IF(VLOOKUP($A118,PRIORIDAD_UNO[[Nombre del requerimiento]:[Fin Producción]],17,FALSE)=0,"",VLOOKUP($A118,PRIORIDAD_UNO[[Nombre del requerimiento]:[Fin Producción]],17,FALSE)),"")</f>
        <v/>
      </c>
      <c r="F118" s="65"/>
      <c r="G118" s="65" t="str">
        <f>IFERROR(VLOOKUP($A118,PRIORIDAD_UNO[[Nombre del requerimiento]:[Fin Producción]],18,FALSE),"")</f>
        <v/>
      </c>
      <c r="H118" s="65"/>
      <c r="I118" s="65" t="str">
        <f>IFERROR(VLOOKUP($A118,PRIORIDAD_UNO[[Nombre del requerimiento]:[Fin Producción]],19,FALSE),"")</f>
        <v/>
      </c>
      <c r="J118" s="65"/>
      <c r="K118" s="65" t="str">
        <f>IFERROR(VLOOKUP($A118,PRIORIDAD_UNO[[Nombre del requerimiento]:[Fin Producción]],20,FALSE),"")</f>
        <v/>
      </c>
      <c r="L118" s="65"/>
      <c r="M118" s="65" t="str">
        <f>IFERROR(VLOOKUP($A118,PRIORIDAD_UNO[[Nombre del requerimiento]:[Fin Producción]],21,FALSE),"")</f>
        <v/>
      </c>
      <c r="N118" s="65"/>
    </row>
    <row r="119" spans="1:14" ht="43.2">
      <c r="A119" s="62" t="s">
        <v>476</v>
      </c>
      <c r="B119" s="64" t="str">
        <f>IFERROR(
VLOOKUP(A119,PRIORIDAD_UNO[[Nombre del requerimiento]:[Tamaño]],5,FALSE),"")</f>
        <v/>
      </c>
      <c r="C119" s="65"/>
      <c r="D119" s="66" t="str">
        <f>IF(ISBLANK(A119),"",
IFERROR(IF(VLOOKUP($A119,PRIORIDAD_UNO[[Nombre del requerimiento]:[Fin Producción]],6,FALSE)=0,"",VLOOKUP($A119,PRIORIDAD_UNO[[Nombre del requerimiento]:[Fin Producción]],6,FALSE)),"No está en hoja Prioridad 1"))</f>
        <v>No está en hoja Prioridad 1</v>
      </c>
      <c r="E119" s="65" t="str">
        <f>IFERROR(IF(VLOOKUP($A119,PRIORIDAD_UNO[[Nombre del requerimiento]:[Fin Producción]],17,FALSE)=0,"",VLOOKUP($A119,PRIORIDAD_UNO[[Nombre del requerimiento]:[Fin Producción]],17,FALSE)),"")</f>
        <v/>
      </c>
      <c r="F119" s="65"/>
      <c r="G119" s="65" t="str">
        <f>IFERROR(VLOOKUP($A119,PRIORIDAD_UNO[[Nombre del requerimiento]:[Fin Producción]],18,FALSE),"")</f>
        <v/>
      </c>
      <c r="H119" s="65"/>
      <c r="I119" s="65" t="str">
        <f>IFERROR(VLOOKUP($A119,PRIORIDAD_UNO[[Nombre del requerimiento]:[Fin Producción]],19,FALSE),"")</f>
        <v/>
      </c>
      <c r="J119" s="65"/>
      <c r="K119" s="65" t="str">
        <f>IFERROR(VLOOKUP($A119,PRIORIDAD_UNO[[Nombre del requerimiento]:[Fin Producción]],20,FALSE),"")</f>
        <v/>
      </c>
      <c r="L119" s="65"/>
      <c r="M119" s="65" t="str">
        <f>IFERROR(VLOOKUP($A119,PRIORIDAD_UNO[[Nombre del requerimiento]:[Fin Producción]],21,FALSE),"")</f>
        <v/>
      </c>
      <c r="N119" s="65"/>
    </row>
    <row r="120" spans="1:14" ht="43.2">
      <c r="A120" s="62" t="s">
        <v>185</v>
      </c>
      <c r="B120" s="64" t="str">
        <f>IFERROR(
VLOOKUP(A120,PRIORIDAD_UNO[[Nombre del requerimiento]:[Tamaño]],5,FALSE),"")</f>
        <v>Mediano</v>
      </c>
      <c r="C120" s="65"/>
      <c r="D120" s="66" t="str">
        <f>IF(ISBLANK(A120),"",
IFERROR(IF(VLOOKUP($A120,PRIORIDAD_UNO[[Nombre del requerimiento]:[Fin Producción]],6,FALSE)=0,"",VLOOKUP($A120,PRIORIDAD_UNO[[Nombre del requerimiento]:[Fin Producción]],6,FALSE)),"No está en hoja Prioridad 1"))</f>
        <v>Banca Digital</v>
      </c>
      <c r="E120" s="65">
        <f>IFERROR(IF(VLOOKUP($A120,PRIORIDAD_UNO[[Nombre del requerimiento]:[Fin Producción]],17,FALSE)=0,"",VLOOKUP($A120,PRIORIDAD_UNO[[Nombre del requerimiento]:[Fin Producción]],17,FALSE)),"")</f>
        <v>46329</v>
      </c>
      <c r="F120" s="65"/>
      <c r="G120" s="65">
        <f>IFERROR(VLOOKUP($A120,PRIORIDAD_UNO[[Nombre del requerimiento]:[Fin Producción]],18,FALSE),"")</f>
        <v>46427</v>
      </c>
      <c r="H120" s="65"/>
      <c r="I120" s="65">
        <f>IFERROR(VLOOKUP($A120,PRIORIDAD_UNO[[Nombre del requerimiento]:[Fin Producción]],19,FALSE),"")</f>
        <v>46434</v>
      </c>
      <c r="J120" s="65"/>
      <c r="K120" s="65">
        <f>IFERROR(VLOOKUP($A120,PRIORIDAD_UNO[[Nombre del requerimiento]:[Fin Producción]],20,FALSE),"")</f>
        <v>46492</v>
      </c>
      <c r="L120" s="65"/>
      <c r="M120" s="65">
        <f>IFERROR(VLOOKUP($A120,PRIORIDAD_UNO[[Nombre del requerimiento]:[Fin Producción]],21,FALSE),"")</f>
        <v>46499</v>
      </c>
      <c r="N120" s="65"/>
    </row>
    <row r="121" spans="1:14" ht="43.2">
      <c r="A121" s="62" t="s">
        <v>184</v>
      </c>
      <c r="B121" s="64" t="str">
        <f>IFERROR(
VLOOKUP(A121,PRIORIDAD_UNO[[Nombre del requerimiento]:[Tamaño]],5,FALSE),"")</f>
        <v>Mediano</v>
      </c>
      <c r="C121" s="65"/>
      <c r="D121" s="66" t="str">
        <f>IF(ISBLANK(A121),"",
IFERROR(IF(VLOOKUP($A121,PRIORIDAD_UNO[[Nombre del requerimiento]:[Fin Producción]],6,FALSE)=0,"",VLOOKUP($A121,PRIORIDAD_UNO[[Nombre del requerimiento]:[Fin Producción]],6,FALSE)),"No está en hoja Prioridad 1"))</f>
        <v>Banca Digital</v>
      </c>
      <c r="E121" s="65">
        <f>IFERROR(IF(VLOOKUP($A121,PRIORIDAD_UNO[[Nombre del requerimiento]:[Fin Producción]],17,FALSE)=0,"",VLOOKUP($A121,PRIORIDAD_UNO[[Nombre del requerimiento]:[Fin Producción]],17,FALSE)),"")</f>
        <v>46336</v>
      </c>
      <c r="F121" s="65"/>
      <c r="G121" s="65">
        <f>IFERROR(VLOOKUP($A121,PRIORIDAD_UNO[[Nombre del requerimiento]:[Fin Producción]],18,FALSE),"")</f>
        <v>46434</v>
      </c>
      <c r="H121" s="65"/>
      <c r="I121" s="65">
        <f>IFERROR(VLOOKUP($A121,PRIORIDAD_UNO[[Nombre del requerimiento]:[Fin Producción]],19,FALSE),"")</f>
        <v>46441</v>
      </c>
      <c r="J121" s="65"/>
      <c r="K121" s="65">
        <f>IFERROR(VLOOKUP($A121,PRIORIDAD_UNO[[Nombre del requerimiento]:[Fin Producción]],20,FALSE),"")</f>
        <v>46499</v>
      </c>
      <c r="L121" s="65"/>
      <c r="M121" s="65">
        <f>IFERROR(VLOOKUP($A121,PRIORIDAD_UNO[[Nombre del requerimiento]:[Fin Producción]],21,FALSE),"")</f>
        <v>46506</v>
      </c>
      <c r="N121" s="65"/>
    </row>
    <row r="122" spans="1:14" ht="43.2">
      <c r="A122" s="62" t="s">
        <v>177</v>
      </c>
      <c r="B122" s="64" t="str">
        <f>IFERROR(
VLOOKUP(A122,PRIORIDAD_UNO[[Nombre del requerimiento]:[Tamaño]],5,FALSE),"")</f>
        <v>Mediano</v>
      </c>
      <c r="C122" s="65"/>
      <c r="D122" s="66" t="str">
        <f>IF(ISBLANK(A122),"",
IFERROR(IF(VLOOKUP($A122,PRIORIDAD_UNO[[Nombre del requerimiento]:[Fin Producción]],6,FALSE)=0,"",VLOOKUP($A122,PRIORIDAD_UNO[[Nombre del requerimiento]:[Fin Producción]],6,FALSE)),"No está en hoja Prioridad 1"))</f>
        <v>Banca Digital</v>
      </c>
      <c r="E122" s="65">
        <f>IFERROR(IF(VLOOKUP($A122,PRIORIDAD_UNO[[Nombre del requerimiento]:[Fin Producción]],17,FALSE)=0,"",VLOOKUP($A122,PRIORIDAD_UNO[[Nombre del requerimiento]:[Fin Producción]],17,FALSE)),"")</f>
        <v>46238</v>
      </c>
      <c r="F122" s="65"/>
      <c r="G122" s="65">
        <f>IFERROR(VLOOKUP($A122,PRIORIDAD_UNO[[Nombre del requerimiento]:[Fin Producción]],18,FALSE),"")</f>
        <v>46332</v>
      </c>
      <c r="H122" s="65"/>
      <c r="I122" s="65">
        <f>IFERROR(VLOOKUP($A122,PRIORIDAD_UNO[[Nombre del requerimiento]:[Fin Producción]],19,FALSE),"")</f>
        <v>46339</v>
      </c>
      <c r="J122" s="65"/>
      <c r="K122" s="65">
        <f>IFERROR(VLOOKUP($A122,PRIORIDAD_UNO[[Nombre del requerimiento]:[Fin Producción]],20,FALSE),"")</f>
        <v>46401</v>
      </c>
      <c r="L122" s="65"/>
      <c r="M122" s="65">
        <f>IFERROR(VLOOKUP($A122,PRIORIDAD_UNO[[Nombre del requerimiento]:[Fin Producción]],21,FALSE),"")</f>
        <v>46408</v>
      </c>
      <c r="N122" s="65"/>
    </row>
    <row r="123" spans="1:14" ht="86.4">
      <c r="A123" s="62" t="s">
        <v>171</v>
      </c>
      <c r="B123" s="64" t="str">
        <f>IFERROR(
VLOOKUP(A123,PRIORIDAD_UNO[[Nombre del requerimiento]:[Tamaño]],5,FALSE),"")</f>
        <v>Mediano</v>
      </c>
      <c r="C123" s="65"/>
      <c r="D123" s="66" t="str">
        <f>IF(ISBLANK(A123),"",
IFERROR(IF(VLOOKUP($A123,PRIORIDAD_UNO[[Nombre del requerimiento]:[Fin Producción]],6,FALSE)=0,"",VLOOKUP($A123,PRIORIDAD_UNO[[Nombre del requerimiento]:[Fin Producción]],6,FALSE)),"No está en hoja Prioridad 1"))</f>
        <v>Operaciones</v>
      </c>
      <c r="E123" s="65">
        <f>IFERROR(IF(VLOOKUP($A123,PRIORIDAD_UNO[[Nombre del requerimiento]:[Fin Producción]],17,FALSE)=0,"",VLOOKUP($A123,PRIORIDAD_UNO[[Nombre del requerimiento]:[Fin Producción]],17,FALSE)),"")</f>
        <v>46174</v>
      </c>
      <c r="F123" s="65"/>
      <c r="G123" s="65">
        <f>IFERROR(VLOOKUP($A123,PRIORIDAD_UNO[[Nombre del requerimiento]:[Fin Producción]],18,FALSE),"")</f>
        <v>46273</v>
      </c>
      <c r="H123" s="65"/>
      <c r="I123" s="65">
        <f>IFERROR(VLOOKUP($A123,PRIORIDAD_UNO[[Nombre del requerimiento]:[Fin Producción]],19,FALSE),"")</f>
        <v>46280</v>
      </c>
      <c r="J123" s="65"/>
      <c r="K123" s="65">
        <f>IFERROR(VLOOKUP($A123,PRIORIDAD_UNO[[Nombre del requerimiento]:[Fin Producción]],20,FALSE),"")</f>
        <v>46337</v>
      </c>
      <c r="L123" s="65"/>
      <c r="M123" s="65">
        <f>IFERROR(VLOOKUP($A123,PRIORIDAD_UNO[[Nombre del requerimiento]:[Fin Producción]],21,FALSE),"")</f>
        <v>46344</v>
      </c>
      <c r="N123" s="65"/>
    </row>
    <row r="124" spans="1:14" ht="28.8">
      <c r="A124" s="62" t="s">
        <v>477</v>
      </c>
      <c r="B124" s="64" t="str">
        <f>IFERROR(
VLOOKUP(A124,PRIORIDAD_UNO[[Nombre del requerimiento]:[Tamaño]],5,FALSE),"")</f>
        <v/>
      </c>
      <c r="C124" s="65"/>
      <c r="D124" s="66" t="str">
        <f>IF(ISBLANK(A124),"",
IFERROR(IF(VLOOKUP($A124,PRIORIDAD_UNO[[Nombre del requerimiento]:[Fin Producción]],6,FALSE)=0,"",VLOOKUP($A124,PRIORIDAD_UNO[[Nombre del requerimiento]:[Fin Producción]],6,FALSE)),"No está en hoja Prioridad 1"))</f>
        <v>No está en hoja Prioridad 1</v>
      </c>
      <c r="E124" s="65" t="str">
        <f>IFERROR(IF(VLOOKUP($A124,PRIORIDAD_UNO[[Nombre del requerimiento]:[Fin Producción]],17,FALSE)=0,"",VLOOKUP($A124,PRIORIDAD_UNO[[Nombre del requerimiento]:[Fin Producción]],17,FALSE)),"")</f>
        <v/>
      </c>
      <c r="F124" s="65"/>
      <c r="G124" s="65" t="str">
        <f>IFERROR(VLOOKUP($A124,PRIORIDAD_UNO[[Nombre del requerimiento]:[Fin Producción]],18,FALSE),"")</f>
        <v/>
      </c>
      <c r="H124" s="65"/>
      <c r="I124" s="65" t="str">
        <f>IFERROR(VLOOKUP($A124,PRIORIDAD_UNO[[Nombre del requerimiento]:[Fin Producción]],19,FALSE),"")</f>
        <v/>
      </c>
      <c r="J124" s="65"/>
      <c r="K124" s="65" t="str">
        <f>IFERROR(VLOOKUP($A124,PRIORIDAD_UNO[[Nombre del requerimiento]:[Fin Producción]],20,FALSE),"")</f>
        <v/>
      </c>
      <c r="L124" s="65"/>
      <c r="M124" s="65" t="str">
        <f>IFERROR(VLOOKUP($A124,PRIORIDAD_UNO[[Nombre del requerimiento]:[Fin Producción]],21,FALSE),"")</f>
        <v/>
      </c>
      <c r="N124" s="65"/>
    </row>
    <row r="125" spans="1:14" ht="28.8">
      <c r="A125" s="62" t="s">
        <v>168</v>
      </c>
      <c r="B125" s="64" t="str">
        <f>IFERROR(
VLOOKUP(A125,PRIORIDAD_UNO[[Nombre del requerimiento]:[Tamaño]],5,FALSE),"")</f>
        <v>Mediano</v>
      </c>
      <c r="C125" s="65"/>
      <c r="D125" s="66" t="str">
        <f>IF(ISBLANK(A125),"",
IFERROR(IF(VLOOKUP($A125,PRIORIDAD_UNO[[Nombre del requerimiento]:[Fin Producción]],6,FALSE)=0,"",VLOOKUP($A125,PRIORIDAD_UNO[[Nombre del requerimiento]:[Fin Producción]],6,FALSE)),"No está en hoja Prioridad 1"))</f>
        <v>Banca Digital</v>
      </c>
      <c r="E125" s="65">
        <f>IFERROR(IF(VLOOKUP($A125,PRIORIDAD_UNO[[Nombre del requerimiento]:[Fin Producción]],17,FALSE)=0,"",VLOOKUP($A125,PRIORIDAD_UNO[[Nombre del requerimiento]:[Fin Producción]],17,FALSE)),"")</f>
        <v>46235</v>
      </c>
      <c r="F125" s="65"/>
      <c r="G125" s="65">
        <f>IFERROR(VLOOKUP($A125,PRIORIDAD_UNO[[Nombre del requerimiento]:[Fin Producción]],18,FALSE),"")</f>
        <v>46330</v>
      </c>
      <c r="H125" s="65"/>
      <c r="I125" s="65">
        <f>IFERROR(VLOOKUP($A125,PRIORIDAD_UNO[[Nombre del requerimiento]:[Fin Producción]],19,FALSE),"")</f>
        <v>46337</v>
      </c>
      <c r="J125" s="65"/>
      <c r="K125" s="65">
        <f>IFERROR(VLOOKUP($A125,PRIORIDAD_UNO[[Nombre del requerimiento]:[Fin Producción]],20,FALSE),"")</f>
        <v>46399</v>
      </c>
      <c r="L125" s="65"/>
      <c r="M125" s="65">
        <f>IFERROR(VLOOKUP($A125,PRIORIDAD_UNO[[Nombre del requerimiento]:[Fin Producción]],21,FALSE),"")</f>
        <v>46406</v>
      </c>
      <c r="N125" s="65"/>
    </row>
    <row r="126" spans="1:14" ht="57.6">
      <c r="A126" s="62" t="s">
        <v>161</v>
      </c>
      <c r="B126" s="64" t="str">
        <f>IFERROR(
VLOOKUP(A126,PRIORIDAD_UNO[[Nombre del requerimiento]:[Tamaño]],5,FALSE),"")</f>
        <v>Mediano</v>
      </c>
      <c r="C126" s="65"/>
      <c r="D126" s="66" t="str">
        <f>IF(ISBLANK(A126),"",
IFERROR(IF(VLOOKUP($A126,PRIORIDAD_UNO[[Nombre del requerimiento]:[Fin Producción]],6,FALSE)=0,"",VLOOKUP($A126,PRIORIDAD_UNO[[Nombre del requerimiento]:[Fin Producción]],6,FALSE)),"No está en hoja Prioridad 1"))</f>
        <v>Riesgos</v>
      </c>
      <c r="E126" s="65">
        <f>IFERROR(IF(VLOOKUP($A126,PRIORIDAD_UNO[[Nombre del requerimiento]:[Fin Producción]],17,FALSE)=0,"",VLOOKUP($A126,PRIORIDAD_UNO[[Nombre del requerimiento]:[Fin Producción]],17,FALSE)),"")</f>
        <v>46237</v>
      </c>
      <c r="F126" s="65"/>
      <c r="G126" s="65">
        <f>IFERROR(VLOOKUP($A126,PRIORIDAD_UNO[[Nombre del requerimiento]:[Fin Producción]],18,FALSE),"")</f>
        <v>46331</v>
      </c>
      <c r="H126" s="65"/>
      <c r="I126" s="65">
        <f>IFERROR(VLOOKUP($A126,PRIORIDAD_UNO[[Nombre del requerimiento]:[Fin Producción]],19,FALSE),"")</f>
        <v>46338</v>
      </c>
      <c r="J126" s="65"/>
      <c r="K126" s="65">
        <f>IFERROR(VLOOKUP($A126,PRIORIDAD_UNO[[Nombre del requerimiento]:[Fin Producción]],20,FALSE),"")</f>
        <v>46400</v>
      </c>
      <c r="L126" s="65"/>
      <c r="M126" s="65">
        <f>IFERROR(VLOOKUP($A126,PRIORIDAD_UNO[[Nombre del requerimiento]:[Fin Producción]],21,FALSE),"")</f>
        <v>46407</v>
      </c>
      <c r="N126" s="65"/>
    </row>
    <row r="127" spans="1:14" ht="57.6">
      <c r="A127" s="62" t="s">
        <v>155</v>
      </c>
      <c r="B127" s="64" t="str">
        <f>IFERROR(
VLOOKUP(A127,PRIORIDAD_UNO[[Nombre del requerimiento]:[Tamaño]],5,FALSE),"")</f>
        <v>Extra Grande</v>
      </c>
      <c r="C127" s="65"/>
      <c r="D127" s="66" t="str">
        <f>IF(ISBLANK(A127),"",
IFERROR(IF(VLOOKUP($A127,PRIORIDAD_UNO[[Nombre del requerimiento]:[Fin Producción]],6,FALSE)=0,"",VLOOKUP($A127,PRIORIDAD_UNO[[Nombre del requerimiento]:[Fin Producción]],6,FALSE)),"No está en hoja Prioridad 1"))</f>
        <v>Operaciones</v>
      </c>
      <c r="E127" s="65">
        <f>IFERROR(IF(VLOOKUP($A127,PRIORIDAD_UNO[[Nombre del requerimiento]:[Fin Producción]],17,FALSE)=0,"",VLOOKUP($A127,PRIORIDAD_UNO[[Nombre del requerimiento]:[Fin Producción]],17,FALSE)),"")</f>
        <v>46300</v>
      </c>
      <c r="F127" s="65"/>
      <c r="G127" s="65">
        <f>IFERROR(VLOOKUP($A127,PRIORIDAD_UNO[[Nombre del requerimiento]:[Fin Producción]],18,FALSE),"")</f>
        <v>46525</v>
      </c>
      <c r="H127" s="65"/>
      <c r="I127" s="65">
        <f>IFERROR(VLOOKUP($A127,PRIORIDAD_UNO[[Nombre del requerimiento]:[Fin Producción]],19,FALSE),"")</f>
        <v>46532</v>
      </c>
      <c r="J127" s="65"/>
      <c r="K127" s="65">
        <f>IFERROR(VLOOKUP($A127,PRIORIDAD_UNO[[Nombre del requerimiento]:[Fin Producción]],20,FALSE),"")</f>
        <v>46610</v>
      </c>
      <c r="L127" s="65"/>
      <c r="M127" s="65">
        <f>IFERROR(VLOOKUP($A127,PRIORIDAD_UNO[[Nombre del requerimiento]:[Fin Producción]],21,FALSE),"")</f>
        <v>46617</v>
      </c>
      <c r="N127" s="65"/>
    </row>
    <row r="128" spans="1:14" ht="57.6">
      <c r="A128" s="62" t="s">
        <v>478</v>
      </c>
      <c r="B128" s="64" t="str">
        <f>IFERROR(
VLOOKUP(A128,PRIORIDAD_UNO[[Nombre del requerimiento]:[Tamaño]],5,FALSE),"")</f>
        <v/>
      </c>
      <c r="C128" s="65"/>
      <c r="D128" s="66" t="str">
        <f>IF(ISBLANK(A128),"",
IFERROR(IF(VLOOKUP($A128,PRIORIDAD_UNO[[Nombre del requerimiento]:[Fin Producción]],6,FALSE)=0,"",VLOOKUP($A128,PRIORIDAD_UNO[[Nombre del requerimiento]:[Fin Producción]],6,FALSE)),"No está en hoja Prioridad 1"))</f>
        <v>No está en hoja Prioridad 1</v>
      </c>
      <c r="E128" s="65" t="str">
        <f>IFERROR(IF(VLOOKUP($A128,PRIORIDAD_UNO[[Nombre del requerimiento]:[Fin Producción]],17,FALSE)=0,"",VLOOKUP($A128,PRIORIDAD_UNO[[Nombre del requerimiento]:[Fin Producción]],17,FALSE)),"")</f>
        <v/>
      </c>
      <c r="F128" s="65"/>
      <c r="G128" s="65" t="str">
        <f>IFERROR(VLOOKUP($A128,PRIORIDAD_UNO[[Nombre del requerimiento]:[Fin Producción]],18,FALSE),"")</f>
        <v/>
      </c>
      <c r="H128" s="65"/>
      <c r="I128" s="65" t="str">
        <f>IFERROR(VLOOKUP($A128,PRIORIDAD_UNO[[Nombre del requerimiento]:[Fin Producción]],19,FALSE),"")</f>
        <v/>
      </c>
      <c r="J128" s="65"/>
      <c r="K128" s="65" t="str">
        <f>IFERROR(VLOOKUP($A128,PRIORIDAD_UNO[[Nombre del requerimiento]:[Fin Producción]],20,FALSE),"")</f>
        <v/>
      </c>
      <c r="L128" s="65"/>
      <c r="M128" s="65" t="str">
        <f>IFERROR(VLOOKUP($A128,PRIORIDAD_UNO[[Nombre del requerimiento]:[Fin Producción]],21,FALSE),"")</f>
        <v/>
      </c>
      <c r="N128" s="65"/>
    </row>
    <row r="129" spans="1:14">
      <c r="A129" s="62" t="s">
        <v>147</v>
      </c>
      <c r="B129" s="64" t="str">
        <f>IFERROR(
VLOOKUP(A129,PRIORIDAD_UNO[[Nombre del requerimiento]:[Tamaño]],5,FALSE),"")</f>
        <v>Pequeño</v>
      </c>
      <c r="C129" s="65"/>
      <c r="D129" s="66" t="str">
        <f>IF(ISBLANK(A129),"",
IFERROR(IF(VLOOKUP($A129,PRIORIDAD_UNO[[Nombre del requerimiento]:[Fin Producción]],6,FALSE)=0,"",VLOOKUP($A129,PRIORIDAD_UNO[[Nombre del requerimiento]:[Fin Producción]],6,FALSE)),"No está en hoja Prioridad 1"))</f>
        <v>Finanzas y Tesorería</v>
      </c>
      <c r="E129" s="65">
        <f>IFERROR(IF(VLOOKUP($A129,PRIORIDAD_UNO[[Nombre del requerimiento]:[Fin Producción]],17,FALSE)=0,"",VLOOKUP($A129,PRIORIDAD_UNO[[Nombre del requerimiento]:[Fin Producción]],17,FALSE)),"")</f>
        <v>46183</v>
      </c>
      <c r="F129" s="65"/>
      <c r="G129" s="65">
        <f>IFERROR(VLOOKUP($A129,PRIORIDAD_UNO[[Nombre del requerimiento]:[Fin Producción]],18,FALSE),"")</f>
        <v>46227</v>
      </c>
      <c r="H129" s="65"/>
      <c r="I129" s="65">
        <f>IFERROR(VLOOKUP($A129,PRIORIDAD_UNO[[Nombre del requerimiento]:[Fin Producción]],19,FALSE),"")</f>
        <v>46238</v>
      </c>
      <c r="J129" s="65"/>
      <c r="K129" s="65">
        <f>IFERROR(VLOOKUP($A129,PRIORIDAD_UNO[[Nombre del requerimiento]:[Fin Producción]],20,FALSE),"")</f>
        <v>46281</v>
      </c>
      <c r="L129" s="65"/>
      <c r="M129" s="65">
        <f>IFERROR(VLOOKUP($A129,PRIORIDAD_UNO[[Nombre del requerimiento]:[Fin Producción]],21,FALSE),"")</f>
        <v>46288</v>
      </c>
      <c r="N129" s="65"/>
    </row>
    <row r="130" spans="1:14" ht="43.2">
      <c r="A130" s="62" t="s">
        <v>143</v>
      </c>
      <c r="B130" s="64" t="str">
        <f>IFERROR(
VLOOKUP(A130,PRIORIDAD_UNO[[Nombre del requerimiento]:[Tamaño]],5,FALSE),"")</f>
        <v>Mediano</v>
      </c>
      <c r="C130" s="65"/>
      <c r="D130" s="66" t="str">
        <f>IF(ISBLANK(A130),"",
IFERROR(IF(VLOOKUP($A130,PRIORIDAD_UNO[[Nombre del requerimiento]:[Fin Producción]],6,FALSE)=0,"",VLOOKUP($A130,PRIORIDAD_UNO[[Nombre del requerimiento]:[Fin Producción]],6,FALSE)),"No está en hoja Prioridad 1"))</f>
        <v>Operaciones</v>
      </c>
      <c r="E130" s="65">
        <f>IFERROR(IF(VLOOKUP($A130,PRIORIDAD_UNO[[Nombre del requerimiento]:[Fin Producción]],17,FALSE)=0,"",VLOOKUP($A130,PRIORIDAD_UNO[[Nombre del requerimiento]:[Fin Producción]],17,FALSE)),"")</f>
        <v>46188</v>
      </c>
      <c r="F130" s="65"/>
      <c r="G130" s="65">
        <f>IFERROR(VLOOKUP($A130,PRIORIDAD_UNO[[Nombre del requerimiento]:[Fin Producción]],18,FALSE),"")</f>
        <v>46287</v>
      </c>
      <c r="H130" s="65"/>
      <c r="I130" s="65">
        <f>IFERROR(VLOOKUP($A130,PRIORIDAD_UNO[[Nombre del requerimiento]:[Fin Producción]],19,FALSE),"")</f>
        <v>46294</v>
      </c>
      <c r="J130" s="65"/>
      <c r="K130" s="65">
        <f>IFERROR(VLOOKUP($A130,PRIORIDAD_UNO[[Nombre del requerimiento]:[Fin Producción]],20,FALSE),"")</f>
        <v>46351</v>
      </c>
      <c r="L130" s="65"/>
      <c r="M130" s="65">
        <f>IFERROR(VLOOKUP($A130,PRIORIDAD_UNO[[Nombre del requerimiento]:[Fin Producción]],21,FALSE),"")</f>
        <v>46358</v>
      </c>
      <c r="N130" s="65"/>
    </row>
    <row r="131" spans="1:14" ht="28.8">
      <c r="A131" s="62" t="s">
        <v>479</v>
      </c>
      <c r="B131" s="64" t="str">
        <f>IFERROR(
VLOOKUP(A131,PRIORIDAD_UNO[[Nombre del requerimiento]:[Tamaño]],5,FALSE),"")</f>
        <v/>
      </c>
      <c r="C131" s="65"/>
      <c r="D131" s="66" t="str">
        <f>IF(ISBLANK(A131),"",
IFERROR(IF(VLOOKUP($A131,PRIORIDAD_UNO[[Nombre del requerimiento]:[Fin Producción]],6,FALSE)=0,"",VLOOKUP($A131,PRIORIDAD_UNO[[Nombre del requerimiento]:[Fin Producción]],6,FALSE)),"No está en hoja Prioridad 1"))</f>
        <v>No está en hoja Prioridad 1</v>
      </c>
      <c r="E131" s="65" t="str">
        <f>IFERROR(IF(VLOOKUP($A131,PRIORIDAD_UNO[[Nombre del requerimiento]:[Fin Producción]],17,FALSE)=0,"",VLOOKUP($A131,PRIORIDAD_UNO[[Nombre del requerimiento]:[Fin Producción]],17,FALSE)),"")</f>
        <v/>
      </c>
      <c r="F131" s="65"/>
      <c r="G131" s="65" t="str">
        <f>IFERROR(VLOOKUP($A131,PRIORIDAD_UNO[[Nombre del requerimiento]:[Fin Producción]],18,FALSE),"")</f>
        <v/>
      </c>
      <c r="H131" s="65"/>
      <c r="I131" s="65" t="str">
        <f>IFERROR(VLOOKUP($A131,PRIORIDAD_UNO[[Nombre del requerimiento]:[Fin Producción]],19,FALSE),"")</f>
        <v/>
      </c>
      <c r="J131" s="65"/>
      <c r="K131" s="65" t="str">
        <f>IFERROR(VLOOKUP($A131,PRIORIDAD_UNO[[Nombre del requerimiento]:[Fin Producción]],20,FALSE),"")</f>
        <v/>
      </c>
      <c r="L131" s="65"/>
      <c r="M131" s="65" t="str">
        <f>IFERROR(VLOOKUP($A131,PRIORIDAD_UNO[[Nombre del requerimiento]:[Fin Producción]],21,FALSE),"")</f>
        <v/>
      </c>
      <c r="N131" s="65"/>
    </row>
    <row r="132" spans="1:14" ht="57.6">
      <c r="A132" s="62" t="s">
        <v>139</v>
      </c>
      <c r="B132" s="64" t="str">
        <f>IFERROR(
VLOOKUP(A132,PRIORIDAD_UNO[[Nombre del requerimiento]:[Tamaño]],5,FALSE),"")</f>
        <v>Grande</v>
      </c>
      <c r="C132" s="65"/>
      <c r="D132" s="66" t="str">
        <f>IF(ISBLANK(A132),"",
IFERROR(IF(VLOOKUP($A132,PRIORIDAD_UNO[[Nombre del requerimiento]:[Fin Producción]],6,FALSE)=0,"",VLOOKUP($A132,PRIORIDAD_UNO[[Nombre del requerimiento]:[Fin Producción]],6,FALSE)),"No está en hoja Prioridad 1"))</f>
        <v>Banca Digital</v>
      </c>
      <c r="E132" s="65">
        <f>IFERROR(IF(VLOOKUP($A132,PRIORIDAD_UNO[[Nombre del requerimiento]:[Fin Producción]],17,FALSE)=0,"",VLOOKUP($A132,PRIORIDAD_UNO[[Nombre del requerimiento]:[Fin Producción]],17,FALSE)),"")</f>
        <v>46266</v>
      </c>
      <c r="F132" s="65"/>
      <c r="G132" s="65">
        <f>IFERROR(VLOOKUP($A132,PRIORIDAD_UNO[[Nombre del requerimiento]:[Fin Producción]],18,FALSE),"")</f>
        <v>46427</v>
      </c>
      <c r="H132" s="65"/>
      <c r="I132" s="65">
        <f>IFERROR(VLOOKUP($A132,PRIORIDAD_UNO[[Nombre del requerimiento]:[Fin Producción]],19,FALSE),"")</f>
        <v>46434</v>
      </c>
      <c r="J132" s="65"/>
      <c r="K132" s="65">
        <f>IFERROR(VLOOKUP($A132,PRIORIDAD_UNO[[Nombre del requerimiento]:[Fin Producción]],20,FALSE),"")</f>
        <v>46506</v>
      </c>
      <c r="L132" s="65"/>
      <c r="M132" s="65">
        <f>IFERROR(VLOOKUP($A132,PRIORIDAD_UNO[[Nombre del requerimiento]:[Fin Producción]],21,FALSE),"")</f>
        <v>46513</v>
      </c>
      <c r="N132" s="65"/>
    </row>
    <row r="133" spans="1:14" ht="57.6">
      <c r="A133" s="62" t="s">
        <v>133</v>
      </c>
      <c r="B133" s="64" t="str">
        <f>IFERROR(
VLOOKUP(A133,PRIORIDAD_UNO[[Nombre del requerimiento]:[Tamaño]],5,FALSE),"")</f>
        <v>Mediano</v>
      </c>
      <c r="C133" s="65"/>
      <c r="D133" s="66" t="str">
        <f>IF(ISBLANK(A133),"",
IFERROR(IF(VLOOKUP($A133,PRIORIDAD_UNO[[Nombre del requerimiento]:[Fin Producción]],6,FALSE)=0,"",VLOOKUP($A133,PRIORIDAD_UNO[[Nombre del requerimiento]:[Fin Producción]],6,FALSE)),"No está en hoja Prioridad 1"))</f>
        <v>Operaciones</v>
      </c>
      <c r="E133" s="65">
        <f>IFERROR(IF(VLOOKUP($A133,PRIORIDAD_UNO[[Nombre del requerimiento]:[Fin Producción]],17,FALSE)=0,"",VLOOKUP($A133,PRIORIDAD_UNO[[Nombre del requerimiento]:[Fin Producción]],17,FALSE)),"")</f>
        <v>46223</v>
      </c>
      <c r="F133" s="65"/>
      <c r="G133" s="65">
        <f>IFERROR(VLOOKUP($A133,PRIORIDAD_UNO[[Nombre del requerimiento]:[Fin Producción]],18,FALSE),"")</f>
        <v>46322</v>
      </c>
      <c r="H133" s="65"/>
      <c r="I133" s="65">
        <f>IFERROR(VLOOKUP($A133,PRIORIDAD_UNO[[Nombre del requerimiento]:[Fin Producción]],19,FALSE),"")</f>
        <v>46329</v>
      </c>
      <c r="J133" s="65"/>
      <c r="K133" s="65">
        <f>IFERROR(VLOOKUP($A133,PRIORIDAD_UNO[[Nombre del requerimiento]:[Fin Producción]],20,FALSE),"")</f>
        <v>46391</v>
      </c>
      <c r="L133" s="65"/>
      <c r="M133" s="65">
        <f>IFERROR(VLOOKUP($A133,PRIORIDAD_UNO[[Nombre del requerimiento]:[Fin Producción]],21,FALSE),"")</f>
        <v>46398</v>
      </c>
      <c r="N133" s="65"/>
    </row>
    <row r="134" spans="1:14" ht="28.8">
      <c r="A134" s="62" t="s">
        <v>128</v>
      </c>
      <c r="B134" s="64" t="str">
        <f>IFERROR(
VLOOKUP(A134,PRIORIDAD_UNO[[Nombre del requerimiento]:[Tamaño]],5,FALSE),"")</f>
        <v>Mediano</v>
      </c>
      <c r="C134" s="65"/>
      <c r="D134" s="66" t="str">
        <f>IF(ISBLANK(A134),"",
IFERROR(IF(VLOOKUP($A134,PRIORIDAD_UNO[[Nombre del requerimiento]:[Fin Producción]],6,FALSE)=0,"",VLOOKUP($A134,PRIORIDAD_UNO[[Nombre del requerimiento]:[Fin Producción]],6,FALSE)),"No está en hoja Prioridad 1"))</f>
        <v>Productos e Inclusión Financiera</v>
      </c>
      <c r="E134" s="65">
        <f>IFERROR(IF(VLOOKUP($A134,PRIORIDAD_UNO[[Nombre del requerimiento]:[Fin Producción]],17,FALSE)=0,"",VLOOKUP($A134,PRIORIDAD_UNO[[Nombre del requerimiento]:[Fin Producción]],17,FALSE)),"")</f>
        <v>46237</v>
      </c>
      <c r="F134" s="65"/>
      <c r="G134" s="65">
        <f>IFERROR(VLOOKUP($A134,PRIORIDAD_UNO[[Nombre del requerimiento]:[Fin Producción]],18,FALSE),"")</f>
        <v>46331</v>
      </c>
      <c r="H134" s="65"/>
      <c r="I134" s="65">
        <f>IFERROR(VLOOKUP($A134,PRIORIDAD_UNO[[Nombre del requerimiento]:[Fin Producción]],19,FALSE),"")</f>
        <v>46338</v>
      </c>
      <c r="J134" s="65"/>
      <c r="K134" s="65">
        <f>IFERROR(VLOOKUP($A134,PRIORIDAD_UNO[[Nombre del requerimiento]:[Fin Producción]],20,FALSE),"")</f>
        <v>46400</v>
      </c>
      <c r="L134" s="65"/>
      <c r="M134" s="65">
        <f>IFERROR(VLOOKUP($A134,PRIORIDAD_UNO[[Nombre del requerimiento]:[Fin Producción]],21,FALSE),"")</f>
        <v>46407</v>
      </c>
      <c r="N134" s="65"/>
    </row>
    <row r="135" spans="1:14" ht="43.2">
      <c r="A135" s="7" t="s">
        <v>125</v>
      </c>
      <c r="B135" s="64" t="str">
        <f>IFERROR(
VLOOKUP(A135,PRIORIDAD_UNO[[Nombre del requerimiento]:[Tamaño]],5,FALSE),"")</f>
        <v>No definido</v>
      </c>
      <c r="C135" s="65"/>
      <c r="D135" s="66" t="str">
        <f>IF(ISBLANK(A135),"",
IFERROR(IF(VLOOKUP($A135,PRIORIDAD_UNO[[Nombre del requerimiento]:[Fin Producción]],6,FALSE)=0,"",VLOOKUP($A135,PRIORIDAD_UNO[[Nombre del requerimiento]:[Fin Producción]],6,FALSE)),"No está en hoja Prioridad 1"))</f>
        <v>Operaciones</v>
      </c>
      <c r="E135" s="65" t="str">
        <f>IFERROR(IF(VLOOKUP($A135,PRIORIDAD_UNO[[Nombre del requerimiento]:[Fin Producción]],17,FALSE)=0,"",VLOOKUP($A135,PRIORIDAD_UNO[[Nombre del requerimiento]:[Fin Producción]],17,FALSE)),"")</f>
        <v/>
      </c>
      <c r="F135" s="65"/>
      <c r="G135" s="65" t="str">
        <f>IFERROR(VLOOKUP($A135,PRIORIDAD_UNO[[Nombre del requerimiento]:[Fin Producción]],18,FALSE),"")</f>
        <v/>
      </c>
      <c r="H135" s="65"/>
      <c r="I135" s="65" t="str">
        <f>IFERROR(VLOOKUP($A135,PRIORIDAD_UNO[[Nombre del requerimiento]:[Fin Producción]],19,FALSE),"")</f>
        <v/>
      </c>
      <c r="J135" s="65"/>
      <c r="K135" s="65" t="str">
        <f>IFERROR(VLOOKUP($A135,PRIORIDAD_UNO[[Nombre del requerimiento]:[Fin Producción]],20,FALSE),"")</f>
        <v/>
      </c>
      <c r="L135" s="65"/>
      <c r="M135" s="65" t="str">
        <f>IFERROR(VLOOKUP($A135,PRIORIDAD_UNO[[Nombre del requerimiento]:[Fin Producción]],21,FALSE),"")</f>
        <v/>
      </c>
      <c r="N135" s="65"/>
    </row>
    <row r="136" spans="1:14" ht="28.8">
      <c r="A136" s="62" t="s">
        <v>118</v>
      </c>
      <c r="B136" s="64" t="str">
        <f>IFERROR(
VLOOKUP(A136,PRIORIDAD_UNO[[Nombre del requerimiento]:[Tamaño]],5,FALSE),"")</f>
        <v>Grande</v>
      </c>
      <c r="C136" s="65"/>
      <c r="D136" s="66" t="str">
        <f>IF(ISBLANK(A136),"",
IFERROR(IF(VLOOKUP($A136,PRIORIDAD_UNO[[Nombre del requerimiento]:[Fin Producción]],6,FALSE)=0,"",VLOOKUP($A136,PRIORIDAD_UNO[[Nombre del requerimiento]:[Fin Producción]],6,FALSE)),"No está en hoja Prioridad 1"))</f>
        <v>Operaciones</v>
      </c>
      <c r="E136" s="65">
        <f>IFERROR(IF(VLOOKUP($A136,PRIORIDAD_UNO[[Nombre del requerimiento]:[Fin Producción]],17,FALSE)=0,"",VLOOKUP($A136,PRIORIDAD_UNO[[Nombre del requerimiento]:[Fin Producción]],17,FALSE)),"")</f>
        <v>46251</v>
      </c>
      <c r="F136" s="65"/>
      <c r="G136" s="65">
        <f>IFERROR(VLOOKUP($A136,PRIORIDAD_UNO[[Nombre del requerimiento]:[Fin Producción]],18,FALSE),"")</f>
        <v>46412</v>
      </c>
      <c r="H136" s="65"/>
      <c r="I136" s="65">
        <f>IFERROR(VLOOKUP($A136,PRIORIDAD_UNO[[Nombre del requerimiento]:[Fin Producción]],19,FALSE),"")</f>
        <v>46419</v>
      </c>
      <c r="J136" s="65"/>
      <c r="K136" s="65">
        <f>IFERROR(VLOOKUP($A136,PRIORIDAD_UNO[[Nombre del requerimiento]:[Fin Producción]],20,FALSE),"")</f>
        <v>46491</v>
      </c>
      <c r="L136" s="65"/>
      <c r="M136" s="65">
        <f>IFERROR(VLOOKUP($A136,PRIORIDAD_UNO[[Nombre del requerimiento]:[Fin Producción]],21,FALSE),"")</f>
        <v>46498</v>
      </c>
      <c r="N136" s="65"/>
    </row>
    <row r="137" spans="1:14" ht="28.8">
      <c r="A137" s="62" t="s">
        <v>117</v>
      </c>
      <c r="B137" s="64" t="str">
        <f>IFERROR(
VLOOKUP(A137,PRIORIDAD_UNO[[Nombre del requerimiento]:[Tamaño]],5,FALSE),"")</f>
        <v>Mediano</v>
      </c>
      <c r="C137" s="65"/>
      <c r="D137" s="66" t="str">
        <f>IF(ISBLANK(A137),"",
IFERROR(IF(VLOOKUP($A137,PRIORIDAD_UNO[[Nombre del requerimiento]:[Fin Producción]],6,FALSE)=0,"",VLOOKUP($A137,PRIORIDAD_UNO[[Nombre del requerimiento]:[Fin Producción]],6,FALSE)),"No está en hoja Prioridad 1"))</f>
        <v>Banca Digital</v>
      </c>
      <c r="E137" s="65">
        <f>IFERROR(IF(VLOOKUP($A137,PRIORIDAD_UNO[[Nombre del requerimiento]:[Fin Producción]],17,FALSE)=0,"",VLOOKUP($A137,PRIORIDAD_UNO[[Nombre del requerimiento]:[Fin Producción]],17,FALSE)),"")</f>
        <v>46113</v>
      </c>
      <c r="F137" s="65"/>
      <c r="G137" s="65">
        <f>IFERROR(VLOOKUP($A137,PRIORIDAD_UNO[[Nombre del requerimiento]:[Fin Producción]],18,FALSE),"")</f>
        <v>46211</v>
      </c>
      <c r="H137" s="65"/>
      <c r="I137" s="65">
        <f>IFERROR(VLOOKUP($A137,PRIORIDAD_UNO[[Nombre del requerimiento]:[Fin Producción]],19,FALSE),"")</f>
        <v>46218</v>
      </c>
      <c r="J137" s="65"/>
      <c r="K137" s="65">
        <f>IFERROR(VLOOKUP($A137,PRIORIDAD_UNO[[Nombre del requerimiento]:[Fin Producción]],20,FALSE),"")</f>
        <v>46280</v>
      </c>
      <c r="L137" s="65"/>
      <c r="M137" s="65">
        <f>IFERROR(VLOOKUP($A137,PRIORIDAD_UNO[[Nombre del requerimiento]:[Fin Producción]],21,FALSE),"")</f>
        <v>46287</v>
      </c>
      <c r="N137" s="65"/>
    </row>
    <row r="138" spans="1:14" ht="28.8">
      <c r="A138" s="62" t="s">
        <v>45</v>
      </c>
      <c r="B138" s="64" t="str">
        <f>IFERROR(
VLOOKUP(A138,PRIORIDAD_UNO[[Nombre del requerimiento]:[Tamaño]],5,FALSE),"")</f>
        <v>Grande</v>
      </c>
      <c r="C138" s="65"/>
      <c r="D138" s="66" t="str">
        <f>IF(ISBLANK(A138),"",
IFERROR(IF(VLOOKUP($A138,PRIORIDAD_UNO[[Nombre del requerimiento]:[Fin Producción]],6,FALSE)=0,"",VLOOKUP($A138,PRIORIDAD_UNO[[Nombre del requerimiento]:[Fin Producción]],6,FALSE)),"No está en hoja Prioridad 1"))</f>
        <v>Banca Digital</v>
      </c>
      <c r="E138" s="65">
        <f>IFERROR(IF(VLOOKUP($A138,PRIORIDAD_UNO[[Nombre del requerimiento]:[Fin Producción]],17,FALSE)=0,"",VLOOKUP($A138,PRIORIDAD_UNO[[Nombre del requerimiento]:[Fin Producción]],17,FALSE)),"")</f>
        <v>46204</v>
      </c>
      <c r="F138" s="65"/>
      <c r="G138" s="65">
        <f>IFERROR(VLOOKUP($A138,PRIORIDAD_UNO[[Nombre del requerimiento]:[Fin Producción]],18,FALSE),"")</f>
        <v>46367</v>
      </c>
      <c r="H138" s="65"/>
      <c r="I138" s="65">
        <f>IFERROR(VLOOKUP($A138,PRIORIDAD_UNO[[Nombre del requerimiento]:[Fin Producción]],19,FALSE),"")</f>
        <v>46374</v>
      </c>
      <c r="J138" s="65"/>
      <c r="K138" s="65">
        <f>IFERROR(VLOOKUP($A138,PRIORIDAD_UNO[[Nombre del requerimiento]:[Fin Producción]],20,FALSE),"")</f>
        <v>46448</v>
      </c>
      <c r="L138" s="65"/>
      <c r="M138" s="65">
        <f>IFERROR(VLOOKUP($A138,PRIORIDAD_UNO[[Nombre del requerimiento]:[Fin Producción]],21,FALSE),"")</f>
        <v>46455</v>
      </c>
      <c r="N138" s="65"/>
    </row>
    <row r="139" spans="1:14" ht="28.8">
      <c r="A139" s="62" t="s">
        <v>480</v>
      </c>
      <c r="B139" s="64" t="str">
        <f>IFERROR(
VLOOKUP(A139,PRIORIDAD_UNO[[Nombre del requerimiento]:[Tamaño]],5,FALSE),"")</f>
        <v/>
      </c>
      <c r="C139" s="65"/>
      <c r="D139" s="66" t="str">
        <f>IF(ISBLANK(A139),"",
IFERROR(IF(VLOOKUP($A139,PRIORIDAD_UNO[[Nombre del requerimiento]:[Fin Producción]],6,FALSE)=0,"",VLOOKUP($A139,PRIORIDAD_UNO[[Nombre del requerimiento]:[Fin Producción]],6,FALSE)),"No está en hoja Prioridad 1"))</f>
        <v>No está en hoja Prioridad 1</v>
      </c>
      <c r="E139" s="65" t="str">
        <f>IFERROR(IF(VLOOKUP($A139,PRIORIDAD_UNO[[Nombre del requerimiento]:[Fin Producción]],17,FALSE)=0,"",VLOOKUP($A139,PRIORIDAD_UNO[[Nombre del requerimiento]:[Fin Producción]],17,FALSE)),"")</f>
        <v/>
      </c>
      <c r="F139" s="65"/>
      <c r="G139" s="65" t="str">
        <f>IFERROR(VLOOKUP($A139,PRIORIDAD_UNO[[Nombre del requerimiento]:[Fin Producción]],18,FALSE),"")</f>
        <v/>
      </c>
      <c r="H139" s="65"/>
      <c r="I139" s="65" t="str">
        <f>IFERROR(VLOOKUP($A139,PRIORIDAD_UNO[[Nombre del requerimiento]:[Fin Producción]],19,FALSE),"")</f>
        <v/>
      </c>
      <c r="J139" s="65"/>
      <c r="K139" s="65" t="str">
        <f>IFERROR(VLOOKUP($A139,PRIORIDAD_UNO[[Nombre del requerimiento]:[Fin Producción]],20,FALSE),"")</f>
        <v/>
      </c>
      <c r="L139" s="65"/>
      <c r="M139" s="65" t="str">
        <f>IFERROR(VLOOKUP($A139,PRIORIDAD_UNO[[Nombre del requerimiento]:[Fin Producción]],21,FALSE),"")</f>
        <v/>
      </c>
      <c r="N139" s="65"/>
    </row>
    <row r="140" spans="1:14" ht="57.6">
      <c r="A140" s="62" t="s">
        <v>112</v>
      </c>
      <c r="B140" s="64" t="str">
        <f>IFERROR(
VLOOKUP(A140,PRIORIDAD_UNO[[Nombre del requerimiento]:[Tamaño]],5,FALSE),"")</f>
        <v>Pequeño</v>
      </c>
      <c r="C140" s="65"/>
      <c r="D140" s="66" t="str">
        <f>IF(ISBLANK(A140),"",
IFERROR(IF(VLOOKUP($A140,PRIORIDAD_UNO[[Nombre del requerimiento]:[Fin Producción]],6,FALSE)=0,"",VLOOKUP($A140,PRIORIDAD_UNO[[Nombre del requerimiento]:[Fin Producción]],6,FALSE)),"No está en hoja Prioridad 1"))</f>
        <v>Banca Digital</v>
      </c>
      <c r="E140" s="65" t="str">
        <f>IFERROR(IF(VLOOKUP($A140,PRIORIDAD_UNO[[Nombre del requerimiento]:[Fin Producción]],17,FALSE)=0,"",VLOOKUP($A140,PRIORIDAD_UNO[[Nombre del requerimiento]:[Fin Producción]],17,FALSE)),"")</f>
        <v/>
      </c>
      <c r="F140" s="65"/>
      <c r="G140" s="65" t="str">
        <f>IFERROR(VLOOKUP($A140,PRIORIDAD_UNO[[Nombre del requerimiento]:[Fin Producción]],18,FALSE),"")</f>
        <v/>
      </c>
      <c r="H140" s="65"/>
      <c r="I140" s="65" t="str">
        <f>IFERROR(VLOOKUP($A140,PRIORIDAD_UNO[[Nombre del requerimiento]:[Fin Producción]],19,FALSE),"")</f>
        <v/>
      </c>
      <c r="J140" s="65"/>
      <c r="K140" s="65" t="str">
        <f>IFERROR(VLOOKUP($A140,PRIORIDAD_UNO[[Nombre del requerimiento]:[Fin Producción]],20,FALSE),"")</f>
        <v/>
      </c>
      <c r="L140" s="65"/>
      <c r="M140" s="65" t="str">
        <f>IFERROR(VLOOKUP($A140,PRIORIDAD_UNO[[Nombre del requerimiento]:[Fin Producción]],21,FALSE),"")</f>
        <v/>
      </c>
      <c r="N140" s="65"/>
    </row>
    <row r="141" spans="1:14" ht="57.6">
      <c r="A141" s="62" t="s">
        <v>112</v>
      </c>
      <c r="B141" s="64" t="str">
        <f>IFERROR(
VLOOKUP(A141,PRIORIDAD_UNO[[Nombre del requerimiento]:[Tamaño]],5,FALSE),"")</f>
        <v>Pequeño</v>
      </c>
      <c r="C141" s="65"/>
      <c r="D141" s="66" t="str">
        <f>IF(ISBLANK(A141),"",
IFERROR(IF(VLOOKUP($A141,PRIORIDAD_UNO[[Nombre del requerimiento]:[Fin Producción]],6,FALSE)=0,"",VLOOKUP($A141,PRIORIDAD_UNO[[Nombre del requerimiento]:[Fin Producción]],6,FALSE)),"No está en hoja Prioridad 1"))</f>
        <v>Banca Digital</v>
      </c>
      <c r="E141" s="65" t="str">
        <f>IFERROR(IF(VLOOKUP($A141,PRIORIDAD_UNO[[Nombre del requerimiento]:[Fin Producción]],17,FALSE)=0,"",VLOOKUP($A141,PRIORIDAD_UNO[[Nombre del requerimiento]:[Fin Producción]],17,FALSE)),"")</f>
        <v/>
      </c>
      <c r="F141" s="65"/>
      <c r="G141" s="65" t="str">
        <f>IFERROR(VLOOKUP($A141,PRIORIDAD_UNO[[Nombre del requerimiento]:[Fin Producción]],18,FALSE),"")</f>
        <v/>
      </c>
      <c r="H141" s="65"/>
      <c r="I141" s="65" t="str">
        <f>IFERROR(VLOOKUP($A141,PRIORIDAD_UNO[[Nombre del requerimiento]:[Fin Producción]],19,FALSE),"")</f>
        <v/>
      </c>
      <c r="J141" s="65"/>
      <c r="K141" s="65" t="str">
        <f>IFERROR(VLOOKUP($A141,PRIORIDAD_UNO[[Nombre del requerimiento]:[Fin Producción]],20,FALSE),"")</f>
        <v/>
      </c>
      <c r="L141" s="65"/>
      <c r="M141" s="65" t="str">
        <f>IFERROR(VLOOKUP($A141,PRIORIDAD_UNO[[Nombre del requerimiento]:[Fin Producción]],21,FALSE),"")</f>
        <v/>
      </c>
      <c r="N141" s="65"/>
    </row>
    <row r="142" spans="1:14" ht="28.8">
      <c r="A142" s="68" t="s">
        <v>178</v>
      </c>
      <c r="B142" s="64" t="str">
        <f>IFERROR(
VLOOKUP(A142,PRIORIDAD_UNO[[Nombre del requerimiento]:[Tamaño]],5,FALSE),"")</f>
        <v>Mediano</v>
      </c>
      <c r="C142" s="65"/>
      <c r="D142" s="66" t="str">
        <f>IF(ISBLANK(A142),"",
IFERROR(IF(VLOOKUP($A142,PRIORIDAD_UNO[[Nombre del requerimiento]:[Fin Producción]],6,FALSE)=0,"",VLOOKUP($A142,PRIORIDAD_UNO[[Nombre del requerimiento]:[Fin Producción]],6,FALSE)),"No está en hoja Prioridad 1"))</f>
        <v>Red de Agencias</v>
      </c>
      <c r="E142" s="65">
        <f>IFERROR(IF(VLOOKUP($A142,PRIORIDAD_UNO[[Nombre del requerimiento]:[Fin Producción]],17,FALSE)=0,"",VLOOKUP($A142,PRIORIDAD_UNO[[Nombre del requerimiento]:[Fin Producción]],17,FALSE)),"")</f>
        <v>46266</v>
      </c>
      <c r="F142" s="65"/>
      <c r="G142" s="65">
        <f>IFERROR(VLOOKUP($A142,PRIORIDAD_UNO[[Nombre del requerimiento]:[Fin Producción]],18,FALSE),"")</f>
        <v>46359</v>
      </c>
      <c r="H142" s="65"/>
      <c r="I142" s="65">
        <f>IFERROR(VLOOKUP($A142,PRIORIDAD_UNO[[Nombre del requerimiento]:[Fin Producción]],19,FALSE),"")</f>
        <v>46370</v>
      </c>
      <c r="J142" s="65"/>
      <c r="K142" s="65">
        <f>IFERROR(VLOOKUP($A142,PRIORIDAD_UNO[[Nombre del requerimiento]:[Fin Producción]],20,FALSE),"")</f>
        <v>46428</v>
      </c>
      <c r="L142" s="65"/>
      <c r="M142" s="65">
        <f>IFERROR(VLOOKUP($A142,PRIORIDAD_UNO[[Nombre del requerimiento]:[Fin Producción]],21,FALSE),"")</f>
        <v>46435</v>
      </c>
      <c r="N142" s="65"/>
    </row>
    <row r="143" spans="1:14" ht="43.2">
      <c r="A143" s="69" t="s">
        <v>436</v>
      </c>
      <c r="B143" s="64" t="str">
        <f>IFERROR(
VLOOKUP(A143,PRIORIDAD_UNO[[Nombre del requerimiento]:[Tamaño]],5,FALSE),"")</f>
        <v>Mediano</v>
      </c>
      <c r="C143" s="65"/>
      <c r="D143" s="66" t="str">
        <f>IF(ISBLANK(A143),"",
IFERROR(IF(VLOOKUP($A143,PRIORIDAD_UNO[[Nombre del requerimiento]:[Fin Producción]],6,FALSE)=0,"",VLOOKUP($A143,PRIORIDAD_UNO[[Nombre del requerimiento]:[Fin Producción]],6,FALSE)),"No está en hoja Prioridad 1"))</f>
        <v>Innovación y Transformación Digital</v>
      </c>
      <c r="E143" s="65">
        <f>IFERROR(IF(VLOOKUP($A143,PRIORIDAD_UNO[[Nombre del requerimiento]:[Fin Producción]],17,FALSE)=0,"",VLOOKUP($A143,PRIORIDAD_UNO[[Nombre del requerimiento]:[Fin Producción]],17,FALSE)),"")</f>
        <v>46327</v>
      </c>
      <c r="F143" s="65"/>
      <c r="G143" s="65">
        <f>IFERROR(VLOOKUP($A143,PRIORIDAD_UNO[[Nombre del requerimiento]:[Fin Producción]],18,FALSE),"")</f>
        <v>46423</v>
      </c>
      <c r="H143" s="65"/>
      <c r="I143" s="65">
        <f>IFERROR(VLOOKUP($A143,PRIORIDAD_UNO[[Nombre del requerimiento]:[Fin Producción]],19,FALSE),"")</f>
        <v>46430</v>
      </c>
      <c r="J143" s="65"/>
      <c r="K143" s="65">
        <f>IFERROR(VLOOKUP($A143,PRIORIDAD_UNO[[Nombre del requerimiento]:[Fin Producción]],20,FALSE),"")</f>
        <v>46490</v>
      </c>
      <c r="L143" s="65"/>
      <c r="M143" s="65">
        <f>IFERROR(VLOOKUP($A143,PRIORIDAD_UNO[[Nombre del requerimiento]:[Fin Producción]],21,FALSE),"")</f>
        <v>46497</v>
      </c>
      <c r="N143" s="65"/>
    </row>
    <row r="144" spans="1:14" ht="28.8">
      <c r="A144" s="62" t="s">
        <v>481</v>
      </c>
      <c r="B144" s="64" t="str">
        <f>IFERROR(
VLOOKUP(A144,PRIORIDAD_UNO[[Nombre del requerimiento]:[Tamaño]],5,FALSE),"")</f>
        <v/>
      </c>
      <c r="C144" s="65"/>
      <c r="D144" s="66" t="str">
        <f>IF(ISBLANK(A144),"",
IFERROR(IF(VLOOKUP($A144,PRIORIDAD_UNO[[Nombre del requerimiento]:[Fin Producción]],6,FALSE)=0,"",VLOOKUP($A144,PRIORIDAD_UNO[[Nombre del requerimiento]:[Fin Producción]],6,FALSE)),"No está en hoja Prioridad 1"))</f>
        <v>No está en hoja Prioridad 1</v>
      </c>
      <c r="E144" s="65" t="str">
        <f>IFERROR(IF(VLOOKUP($A144,PRIORIDAD_UNO[[Nombre del requerimiento]:[Fin Producción]],17,FALSE)=0,"",VLOOKUP($A144,PRIORIDAD_UNO[[Nombre del requerimiento]:[Fin Producción]],17,FALSE)),"")</f>
        <v/>
      </c>
      <c r="F144" s="65"/>
      <c r="G144" s="65" t="str">
        <f>IFERROR(VLOOKUP($A144,PRIORIDAD_UNO[[Nombre del requerimiento]:[Fin Producción]],18,FALSE),"")</f>
        <v/>
      </c>
      <c r="H144" s="65"/>
      <c r="I144" s="65" t="str">
        <f>IFERROR(VLOOKUP($A144,PRIORIDAD_UNO[[Nombre del requerimiento]:[Fin Producción]],19,FALSE),"")</f>
        <v/>
      </c>
      <c r="J144" s="65"/>
      <c r="K144" s="65" t="str">
        <f>IFERROR(VLOOKUP($A144,PRIORIDAD_UNO[[Nombre del requerimiento]:[Fin Producción]],20,FALSE),"")</f>
        <v/>
      </c>
      <c r="L144" s="65"/>
      <c r="M144" s="65" t="str">
        <f>IFERROR(VLOOKUP($A144,PRIORIDAD_UNO[[Nombre del requerimiento]:[Fin Producción]],21,FALSE),"")</f>
        <v/>
      </c>
      <c r="N144" s="65"/>
    </row>
    <row r="145" spans="1:14">
      <c r="A145" s="62" t="s">
        <v>51</v>
      </c>
      <c r="B145" s="64" t="str">
        <f>IFERROR(
VLOOKUP(A145,PRIORIDAD_UNO[[Nombre del requerimiento]:[Tamaño]],5,FALSE),"")</f>
        <v>Grande</v>
      </c>
      <c r="C145" s="65"/>
      <c r="D145" s="66" t="str">
        <f>IF(ISBLANK(A145),"",
IFERROR(IF(VLOOKUP($A145,PRIORIDAD_UNO[[Nombre del requerimiento]:[Fin Producción]],6,FALSE)=0,"",VLOOKUP($A145,PRIORIDAD_UNO[[Nombre del requerimiento]:[Fin Producción]],6,FALSE)),"No está en hoja Prioridad 1"))</f>
        <v>Banca Digital</v>
      </c>
      <c r="E145" s="65">
        <f>IFERROR(IF(VLOOKUP($A145,PRIORIDAD_UNO[[Nombre del requerimiento]:[Fin Producción]],17,FALSE)=0,"",VLOOKUP($A145,PRIORIDAD_UNO[[Nombre del requerimiento]:[Fin Producción]],17,FALSE)),"")</f>
        <v>46204</v>
      </c>
      <c r="F145" s="65"/>
      <c r="G145" s="65">
        <f>IFERROR(VLOOKUP($A145,PRIORIDAD_UNO[[Nombre del requerimiento]:[Fin Producción]],18,FALSE),"")</f>
        <v>46367</v>
      </c>
      <c r="H145" s="65"/>
      <c r="I145" s="65">
        <f>IFERROR(VLOOKUP($A145,PRIORIDAD_UNO[[Nombre del requerimiento]:[Fin Producción]],19,FALSE),"")</f>
        <v>46374</v>
      </c>
      <c r="J145" s="65"/>
      <c r="K145" s="65">
        <f>IFERROR(VLOOKUP($A145,PRIORIDAD_UNO[[Nombre del requerimiento]:[Fin Producción]],20,FALSE),"")</f>
        <v>46448</v>
      </c>
      <c r="L145" s="65"/>
      <c r="M145" s="65">
        <f>IFERROR(VLOOKUP($A145,PRIORIDAD_UNO[[Nombre del requerimiento]:[Fin Producción]],21,FALSE),"")</f>
        <v>46455</v>
      </c>
      <c r="N145" s="65"/>
    </row>
    <row r="146" spans="1:14" ht="28.8">
      <c r="A146" s="62" t="s">
        <v>482</v>
      </c>
      <c r="B146" s="64" t="str">
        <f>IFERROR(
VLOOKUP(A146,PRIORIDAD_UNO[[Nombre del requerimiento]:[Tamaño]],5,FALSE),"")</f>
        <v/>
      </c>
      <c r="C146" s="65"/>
      <c r="D146" s="66" t="str">
        <f>IF(ISBLANK(A146),"",
IFERROR(IF(VLOOKUP($A146,PRIORIDAD_UNO[[Nombre del requerimiento]:[Fin Producción]],6,FALSE)=0,"",VLOOKUP($A146,PRIORIDAD_UNO[[Nombre del requerimiento]:[Fin Producción]],6,FALSE)),"No está en hoja Prioridad 1"))</f>
        <v>No está en hoja Prioridad 1</v>
      </c>
      <c r="E146" s="65" t="str">
        <f>IFERROR(IF(VLOOKUP($A146,PRIORIDAD_UNO[[Nombre del requerimiento]:[Fin Producción]],17,FALSE)=0,"",VLOOKUP($A146,PRIORIDAD_UNO[[Nombre del requerimiento]:[Fin Producción]],17,FALSE)),"")</f>
        <v/>
      </c>
      <c r="F146" s="65"/>
      <c r="G146" s="65" t="str">
        <f>IFERROR(VLOOKUP($A146,PRIORIDAD_UNO[[Nombre del requerimiento]:[Fin Producción]],18,FALSE),"")</f>
        <v/>
      </c>
      <c r="H146" s="65"/>
      <c r="I146" s="65" t="str">
        <f>IFERROR(VLOOKUP($A146,PRIORIDAD_UNO[[Nombre del requerimiento]:[Fin Producción]],19,FALSE),"")</f>
        <v/>
      </c>
      <c r="J146" s="65"/>
      <c r="K146" s="65" t="str">
        <f>IFERROR(VLOOKUP($A146,PRIORIDAD_UNO[[Nombre del requerimiento]:[Fin Producción]],20,FALSE),"")</f>
        <v/>
      </c>
      <c r="L146" s="65"/>
      <c r="M146" s="65" t="str">
        <f>IFERROR(VLOOKUP($A146,PRIORIDAD_UNO[[Nombre del requerimiento]:[Fin Producción]],21,FALSE),"")</f>
        <v/>
      </c>
      <c r="N146" s="65"/>
    </row>
    <row r="147" spans="1:14" ht="28.8">
      <c r="A147" s="159" t="s">
        <v>253</v>
      </c>
      <c r="B147" s="64" t="str">
        <f>IFERROR(
VLOOKUP(A147,PRIORIDAD_UNO[[Nombre del requerimiento]:[Tamaño]],5,FALSE),"")</f>
        <v>Extra Grande</v>
      </c>
      <c r="C147" s="65"/>
      <c r="D147" s="66" t="str">
        <f>IF(ISBLANK(A147),"",
IFERROR(IF(VLOOKUP($A147,PRIORIDAD_UNO[[Nombre del requerimiento]:[Fin Producción]],6,FALSE)=0,"",VLOOKUP($A147,PRIORIDAD_UNO[[Nombre del requerimiento]:[Fin Producción]],6,FALSE)),"No está en hoja Prioridad 1"))</f>
        <v>Administración y Logistica</v>
      </c>
      <c r="E147" s="65">
        <f>IFERROR(IF(VLOOKUP($A147,PRIORIDAD_UNO[[Nombre del requerimiento]:[Fin Producción]],17,FALSE)=0,"",VLOOKUP($A147,PRIORIDAD_UNO[[Nombre del requerimiento]:[Fin Producción]],17,FALSE)),"")</f>
        <v>46240</v>
      </c>
      <c r="F147" s="65"/>
      <c r="G147" s="65">
        <f>IFERROR(VLOOKUP($A147,PRIORIDAD_UNO[[Nombre del requerimiento]:[Fin Producción]],18,FALSE),"")</f>
        <v>46463</v>
      </c>
      <c r="H147" s="65"/>
      <c r="I147" s="65">
        <f>IFERROR(VLOOKUP($A147,PRIORIDAD_UNO[[Nombre del requerimiento]:[Fin Producción]],19,FALSE),"")</f>
        <v>46470</v>
      </c>
      <c r="J147" s="65"/>
      <c r="K147" s="65">
        <f>IFERROR(VLOOKUP($A147,PRIORIDAD_UNO[[Nombre del requerimiento]:[Fin Producción]],20,FALSE),"")</f>
        <v>46542</v>
      </c>
      <c r="L147" s="65"/>
      <c r="M147" s="65">
        <f>IFERROR(VLOOKUP($A147,PRIORIDAD_UNO[[Nombre del requerimiento]:[Fin Producción]],21,FALSE),"")</f>
        <v>46552</v>
      </c>
      <c r="N147" s="65"/>
    </row>
    <row r="148" spans="1:14" ht="28.8">
      <c r="A148" s="62" t="s">
        <v>197</v>
      </c>
      <c r="B148" s="64" t="str">
        <f>IFERROR(
VLOOKUP(A148,PRIORIDAD_UNO[[Nombre del requerimiento]:[Tamaño]],5,FALSE),"")</f>
        <v>Mediano</v>
      </c>
      <c r="C148" s="65"/>
      <c r="D148" s="66" t="str">
        <f>IF(ISBLANK(A148),"",
IFERROR(IF(VLOOKUP($A148,PRIORIDAD_UNO[[Nombre del requerimiento]:[Fin Producción]],6,FALSE)=0,"",VLOOKUP($A148,PRIORIDAD_UNO[[Nombre del requerimiento]:[Fin Producción]],6,FALSE)),"No está en hoja Prioridad 1"))</f>
        <v>Banca Digital</v>
      </c>
      <c r="E148" s="65">
        <f>IFERROR(IF(VLOOKUP($A148,PRIORIDAD_UNO[[Nombre del requerimiento]:[Fin Producción]],17,FALSE)=0,"",VLOOKUP($A148,PRIORIDAD_UNO[[Nombre del requerimiento]:[Fin Producción]],17,FALSE)),"")</f>
        <v>46237</v>
      </c>
      <c r="F148" s="65"/>
      <c r="G148" s="65">
        <f>IFERROR(VLOOKUP($A148,PRIORIDAD_UNO[[Nombre del requerimiento]:[Fin Producción]],18,FALSE),"")</f>
        <v>46331</v>
      </c>
      <c r="H148" s="65"/>
      <c r="I148" s="65">
        <f>IFERROR(VLOOKUP($A148,PRIORIDAD_UNO[[Nombre del requerimiento]:[Fin Producción]],19,FALSE),"")</f>
        <v>46338</v>
      </c>
      <c r="J148" s="65"/>
      <c r="K148" s="65">
        <f>IFERROR(VLOOKUP($A148,PRIORIDAD_UNO[[Nombre del requerimiento]:[Fin Producción]],20,FALSE),"")</f>
        <v>46400</v>
      </c>
      <c r="L148" s="65"/>
      <c r="M148" s="65">
        <f>IFERROR(VLOOKUP($A148,PRIORIDAD_UNO[[Nombre del requerimiento]:[Fin Producción]],21,FALSE),"")</f>
        <v>46407</v>
      </c>
      <c r="N148" s="65"/>
    </row>
    <row r="149" spans="1:14" ht="43.2">
      <c r="A149" s="62" t="s">
        <v>289</v>
      </c>
      <c r="B149" s="64" t="str">
        <f>IFERROR(
VLOOKUP(A149,PRIORIDAD_UNO[[Nombre del requerimiento]:[Tamaño]],5,FALSE),"")</f>
        <v>Pequeño</v>
      </c>
      <c r="C149" s="65"/>
      <c r="D149" s="66" t="str">
        <f>IF(ISBLANK(A149),"",
IFERROR(IF(VLOOKUP($A149,PRIORIDAD_UNO[[Nombre del requerimiento]:[Fin Producción]],6,FALSE)=0,"",VLOOKUP($A149,PRIORIDAD_UNO[[Nombre del requerimiento]:[Fin Producción]],6,FALSE)),"No está en hoja Prioridad 1"))</f>
        <v>Banca Digital</v>
      </c>
      <c r="E149" s="65">
        <f>IFERROR(IF(VLOOKUP($A149,PRIORIDAD_UNO[[Nombre del requerimiento]:[Fin Producción]],17,FALSE)=0,"",VLOOKUP($A149,PRIORIDAD_UNO[[Nombre del requerimiento]:[Fin Producción]],17,FALSE)),"")</f>
        <v>46237</v>
      </c>
      <c r="F149" s="65"/>
      <c r="G149" s="65">
        <f>IFERROR(VLOOKUP($A149,PRIORIDAD_UNO[[Nombre del requerimiento]:[Fin Producción]],18,FALSE),"")</f>
        <v>46280</v>
      </c>
      <c r="H149" s="65"/>
      <c r="I149" s="65">
        <f>IFERROR(VLOOKUP($A149,PRIORIDAD_UNO[[Nombre del requerimiento]:[Fin Producción]],19,FALSE),"")</f>
        <v>46287</v>
      </c>
      <c r="J149" s="65"/>
      <c r="K149" s="65">
        <f>IFERROR(VLOOKUP($A149,PRIORIDAD_UNO[[Nombre del requerimiento]:[Fin Producción]],20,FALSE),"")</f>
        <v>46330</v>
      </c>
      <c r="L149" s="65"/>
      <c r="M149" s="65">
        <f>IFERROR(VLOOKUP($A149,PRIORIDAD_UNO[[Nombre del requerimiento]:[Fin Producción]],21,FALSE),"")</f>
        <v>46337</v>
      </c>
      <c r="N149" s="65"/>
    </row>
    <row r="150" spans="1:14" ht="43.2">
      <c r="A150" s="62" t="s">
        <v>381</v>
      </c>
      <c r="B150" s="64" t="str">
        <f>IFERROR(
VLOOKUP(A150,PRIORIDAD_UNO[[Nombre del requerimiento]:[Tamaño]],5,FALSE),"")</f>
        <v>Pequeño</v>
      </c>
      <c r="C150" s="65"/>
      <c r="D150" s="66" t="str">
        <f>IF(ISBLANK(A150),"",
IFERROR(IF(VLOOKUP($A150,PRIORIDAD_UNO[[Nombre del requerimiento]:[Fin Producción]],6,FALSE)=0,"",VLOOKUP($A150,PRIORIDAD_UNO[[Nombre del requerimiento]:[Fin Producción]],6,FALSE)),"No está en hoja Prioridad 1"))</f>
        <v>Banca Digital</v>
      </c>
      <c r="E150" s="65">
        <f>IFERROR(IF(VLOOKUP($A150,PRIORIDAD_UNO[[Nombre del requerimiento]:[Fin Producción]],17,FALSE)=0,"",VLOOKUP($A150,PRIORIDAD_UNO[[Nombre del requerimiento]:[Fin Producción]],17,FALSE)),"")</f>
        <v>46167</v>
      </c>
      <c r="F150" s="65"/>
      <c r="G150" s="65">
        <f>IFERROR(VLOOKUP($A150,PRIORIDAD_UNO[[Nombre del requerimiento]:[Fin Producción]],18,FALSE),"")</f>
        <v>46210</v>
      </c>
      <c r="H150" s="65"/>
      <c r="I150" s="65">
        <f>IFERROR(VLOOKUP($A150,PRIORIDAD_UNO[[Nombre del requerimiento]:[Fin Producción]],19,FALSE),"")</f>
        <v>46217</v>
      </c>
      <c r="J150" s="65"/>
      <c r="K150" s="65">
        <f>IFERROR(VLOOKUP($A150,PRIORIDAD_UNO[[Nombre del requerimiento]:[Fin Producción]],20,FALSE),"")</f>
        <v>46265</v>
      </c>
      <c r="L150" s="65"/>
      <c r="M150" s="65">
        <f>IFERROR(VLOOKUP($A150,PRIORIDAD_UNO[[Nombre del requerimiento]:[Fin Producción]],21,FALSE),"")</f>
        <v>46272</v>
      </c>
      <c r="N150" s="65"/>
    </row>
    <row r="151" spans="1:14">
      <c r="A151" s="119" t="s">
        <v>180</v>
      </c>
      <c r="B151" s="64" t="str">
        <f>IFERROR(
VLOOKUP(A151,PRIORIDAD_UNO[[Nombre del requerimiento]:[Tamaño]],5,FALSE),"")</f>
        <v>Mediano</v>
      </c>
      <c r="C151" s="65"/>
      <c r="D151" s="66" t="str">
        <f>IF(ISBLANK(A151),"",
IFERROR(IF(VLOOKUP($A151,PRIORIDAD_UNO[[Nombre del requerimiento]:[Fin Producción]],6,FALSE)=0,"",VLOOKUP($A151,PRIORIDAD_UNO[[Nombre del requerimiento]:[Fin Producción]],6,FALSE)),"No está en hoja Prioridad 1"))</f>
        <v>Banca Digital</v>
      </c>
      <c r="E151" s="65">
        <f>IFERROR(IF(VLOOKUP($A151,PRIORIDAD_UNO[[Nombre del requerimiento]:[Fin Producción]],17,FALSE)=0,"",VLOOKUP($A151,PRIORIDAD_UNO[[Nombre del requerimiento]:[Fin Producción]],17,FALSE)),"")</f>
        <v>46204</v>
      </c>
      <c r="F151" s="65"/>
      <c r="G151" s="65">
        <f>IFERROR(VLOOKUP($A151,PRIORIDAD_UNO[[Nombre del requerimiento]:[Fin Producción]],18,FALSE),"")</f>
        <v>46302</v>
      </c>
      <c r="H151" s="65"/>
      <c r="I151" s="65">
        <f>IFERROR(VLOOKUP($A151,PRIORIDAD_UNO[[Nombre del requerimiento]:[Fin Producción]],19,FALSE),"")</f>
        <v>46310</v>
      </c>
      <c r="J151" s="65"/>
      <c r="K151" s="65">
        <f>IFERROR(VLOOKUP($A151,PRIORIDAD_UNO[[Nombre del requerimiento]:[Fin Producción]],20,FALSE),"")</f>
        <v>46370</v>
      </c>
      <c r="L151" s="65"/>
      <c r="M151" s="65">
        <f>IFERROR(VLOOKUP($A151,PRIORIDAD_UNO[[Nombre del requerimiento]:[Fin Producción]],21,FALSE),"")</f>
        <v>46377</v>
      </c>
      <c r="N151" s="65"/>
    </row>
    <row r="152" spans="1:14" ht="28.8">
      <c r="A152" s="112" t="s">
        <v>389</v>
      </c>
      <c r="B152" s="64" t="str">
        <f>IFERROR(
VLOOKUP(A152,PRIORIDAD_UNO[[Nombre del requerimiento]:[Tamaño]],5,FALSE),"")</f>
        <v>Mediano</v>
      </c>
      <c r="C152" s="65"/>
      <c r="D152" s="66" t="str">
        <f>IF(ISBLANK(A152),"",
IFERROR(IF(VLOOKUP($A152,PRIORIDAD_UNO[[Nombre del requerimiento]:[Fin Producción]],6,FALSE)=0,"",VLOOKUP($A152,PRIORIDAD_UNO[[Nombre del requerimiento]:[Fin Producción]],6,FALSE)),"No está en hoja Prioridad 1"))</f>
        <v>Banca Digital</v>
      </c>
      <c r="E152" s="65">
        <f>IFERROR(IF(VLOOKUP($A152,PRIORIDAD_UNO[[Nombre del requerimiento]:[Fin Producción]],17,FALSE)=0,"",VLOOKUP($A152,PRIORIDAD_UNO[[Nombre del requerimiento]:[Fin Producción]],17,FALSE)),"")</f>
        <v>46238</v>
      </c>
      <c r="F152" s="65"/>
      <c r="G152" s="65">
        <f>IFERROR(VLOOKUP($A152,PRIORIDAD_UNO[[Nombre del requerimiento]:[Fin Producción]],18,FALSE),"")</f>
        <v>46332</v>
      </c>
      <c r="H152" s="65"/>
      <c r="I152" s="65">
        <f>IFERROR(VLOOKUP($A152,PRIORIDAD_UNO[[Nombre del requerimiento]:[Fin Producción]],19,FALSE),"")</f>
        <v>46339</v>
      </c>
      <c r="J152" s="65"/>
      <c r="K152" s="65">
        <f>IFERROR(VLOOKUP($A152,PRIORIDAD_UNO[[Nombre del requerimiento]:[Fin Producción]],20,FALSE),"")</f>
        <v>46401</v>
      </c>
      <c r="L152" s="65"/>
      <c r="M152" s="65">
        <f>IFERROR(VLOOKUP($A152,PRIORIDAD_UNO[[Nombre del requerimiento]:[Fin Producción]],21,FALSE),"")</f>
        <v>46408</v>
      </c>
      <c r="N152" s="65"/>
    </row>
    <row r="153" spans="1:14" ht="28.8">
      <c r="A153" s="112" t="s">
        <v>315</v>
      </c>
      <c r="B153" s="64" t="str">
        <f>IFERROR(
VLOOKUP(A153,PRIORIDAD_UNO[[Nombre del requerimiento]:[Tamaño]],5,FALSE),"")</f>
        <v>Grande</v>
      </c>
      <c r="C153" s="65"/>
      <c r="D153" s="66" t="str">
        <f>IF(ISBLANK(A153),"",
IFERROR(IF(VLOOKUP($A153,PRIORIDAD_UNO[[Nombre del requerimiento]:[Fin Producción]],6,FALSE)=0,"",VLOOKUP($A153,PRIORIDAD_UNO[[Nombre del requerimiento]:[Fin Producción]],6,FALSE)),"No está en hoja Prioridad 1"))</f>
        <v>Banca Digital</v>
      </c>
      <c r="E153" s="65">
        <f>IFERROR(IF(VLOOKUP($A153,PRIORIDAD_UNO[[Nombre del requerimiento]:[Fin Producción]],17,FALSE)=0,"",VLOOKUP($A153,PRIORIDAD_UNO[[Nombre del requerimiento]:[Fin Producción]],17,FALSE)),"")</f>
        <v>46237</v>
      </c>
      <c r="F153" s="65"/>
      <c r="G153" s="65">
        <f>IFERROR(VLOOKUP($A153,PRIORIDAD_UNO[[Nombre del requerimiento]:[Fin Producción]],18,FALSE),"")</f>
        <v>46399</v>
      </c>
      <c r="H153" s="65"/>
      <c r="I153" s="65">
        <f>IFERROR(VLOOKUP($A153,PRIORIDAD_UNO[[Nombre del requerimiento]:[Fin Producción]],19,FALSE),"")</f>
        <v>46406</v>
      </c>
      <c r="J153" s="65"/>
      <c r="K153" s="65">
        <f>IFERROR(VLOOKUP($A153,PRIORIDAD_UNO[[Nombre del requerimiento]:[Fin Producción]],20,FALSE),"")</f>
        <v>46478</v>
      </c>
      <c r="L153" s="65"/>
      <c r="M153" s="65">
        <f>IFERROR(VLOOKUP($A153,PRIORIDAD_UNO[[Nombre del requerimiento]:[Fin Producción]],21,FALSE),"")</f>
        <v>46485</v>
      </c>
      <c r="N153" s="65"/>
    </row>
    <row r="154" spans="1:14" ht="28.8">
      <c r="A154" s="112" t="s">
        <v>194</v>
      </c>
      <c r="B154" s="64" t="str">
        <f>IFERROR(
VLOOKUP(A154,PRIORIDAD_UNO[[Nombre del requerimiento]:[Tamaño]],5,FALSE),"")</f>
        <v>Pequeño</v>
      </c>
      <c r="C154" s="65"/>
      <c r="D154" s="66" t="str">
        <f>IF(ISBLANK(A154),"",
IFERROR(IF(VLOOKUP($A154,PRIORIDAD_UNO[[Nombre del requerimiento]:[Fin Producción]],6,FALSE)=0,"",VLOOKUP($A154,PRIORIDAD_UNO[[Nombre del requerimiento]:[Fin Producción]],6,FALSE)),"No está en hoja Prioridad 1"))</f>
        <v>Banca Digital</v>
      </c>
      <c r="E154" s="65">
        <f>IFERROR(IF(VLOOKUP($A154,PRIORIDAD_UNO[[Nombre del requerimiento]:[Fin Producción]],17,FALSE)=0,"",VLOOKUP($A154,PRIORIDAD_UNO[[Nombre del requerimiento]:[Fin Producción]],17,FALSE)),"")</f>
        <v>46181</v>
      </c>
      <c r="F154" s="65"/>
      <c r="G154" s="65">
        <f>IFERROR(VLOOKUP($A154,PRIORIDAD_UNO[[Nombre del requerimiento]:[Fin Producción]],18,FALSE),"")</f>
        <v>46224</v>
      </c>
      <c r="H154" s="65"/>
      <c r="I154" s="65">
        <f>IFERROR(VLOOKUP($A154,PRIORIDAD_UNO[[Nombre del requerimiento]:[Fin Producción]],19,FALSE),"")</f>
        <v>46234</v>
      </c>
      <c r="J154" s="65"/>
      <c r="K154" s="65">
        <f>IFERROR(VLOOKUP($A154,PRIORIDAD_UNO[[Nombre del requerimiento]:[Fin Producción]],20,FALSE),"")</f>
        <v>46279</v>
      </c>
      <c r="L154" s="65"/>
      <c r="M154" s="65">
        <f>IFERROR(VLOOKUP($A154,PRIORIDAD_UNO[[Nombre del requerimiento]:[Fin Producción]],21,FALSE),"")</f>
        <v>46286</v>
      </c>
      <c r="N154" s="65"/>
    </row>
    <row r="155" spans="1:14">
      <c r="A155" s="62"/>
      <c r="B155" s="64" t="str">
        <f>IFERROR(
VLOOKUP(A155,PRIORIDAD_UNO[[Nombre del requerimiento]:[Tamaño]],5,FALSE),"")</f>
        <v/>
      </c>
      <c r="C155" s="65"/>
      <c r="D155" s="66" t="str">
        <f>IF(ISBLANK(A155),"",
IFERROR(IF(VLOOKUP($A155,PRIORIDAD_UNO[[Nombre del requerimiento]:[Fin Producción]],6,FALSE)=0,"",VLOOKUP($A155,PRIORIDAD_UNO[[Nombre del requerimiento]:[Fin Producción]],6,FALSE)),"No está en hoja Prioridad 1"))</f>
        <v/>
      </c>
      <c r="E155" s="65" t="str">
        <f>IFERROR(IF(VLOOKUP($A155,PRIORIDAD_UNO[[Nombre del requerimiento]:[Fin Producción]],17,FALSE)=0,"",VLOOKUP($A155,PRIORIDAD_UNO[[Nombre del requerimiento]:[Fin Producción]],17,FALSE)),"")</f>
        <v/>
      </c>
      <c r="F155" s="65"/>
      <c r="G155" s="65" t="str">
        <f>IFERROR(VLOOKUP($A155,PRIORIDAD_UNO[[Nombre del requerimiento]:[Fin Producción]],18,FALSE),"")</f>
        <v/>
      </c>
      <c r="H155" s="65"/>
      <c r="I155" s="65" t="str">
        <f>IFERROR(VLOOKUP($A155,PRIORIDAD_UNO[[Nombre del requerimiento]:[Fin Producción]],19,FALSE),"")</f>
        <v/>
      </c>
      <c r="J155" s="65"/>
      <c r="K155" s="65" t="str">
        <f>IFERROR(VLOOKUP($A155,PRIORIDAD_UNO[[Nombre del requerimiento]:[Fin Producción]],20,FALSE),"")</f>
        <v/>
      </c>
      <c r="L155" s="65"/>
      <c r="M155" s="65" t="str">
        <f>IFERROR(VLOOKUP($A155,PRIORIDAD_UNO[[Nombre del requerimiento]:[Fin Producción]],21,FALSE),"")</f>
        <v/>
      </c>
      <c r="N155" s="65"/>
    </row>
    <row r="156" spans="1:14">
      <c r="A156" s="62"/>
      <c r="B156" s="64" t="str">
        <f>IFERROR(
VLOOKUP(A156,PRIORIDAD_UNO[[Nombre del requerimiento]:[Tamaño]],5,FALSE),"")</f>
        <v/>
      </c>
      <c r="C156" s="65"/>
      <c r="D156" s="66" t="str">
        <f>IF(ISBLANK(A156),"",
IFERROR(IF(VLOOKUP($A156,PRIORIDAD_UNO[[Nombre del requerimiento]:[Fin Producción]],6,FALSE)=0,"",VLOOKUP($A156,PRIORIDAD_UNO[[Nombre del requerimiento]:[Fin Producción]],6,FALSE)),"No está en hoja Prioridad 1"))</f>
        <v/>
      </c>
      <c r="E156" s="65" t="str">
        <f>IFERROR(IF(VLOOKUP($A156,PRIORIDAD_UNO[[Nombre del requerimiento]:[Fin Producción]],17,FALSE)=0,"",VLOOKUP($A156,PRIORIDAD_UNO[[Nombre del requerimiento]:[Fin Producción]],17,FALSE)),"")</f>
        <v/>
      </c>
      <c r="F156" s="65"/>
      <c r="G156" s="65" t="str">
        <f>IFERROR(VLOOKUP($A156,PRIORIDAD_UNO[[Nombre del requerimiento]:[Fin Producción]],18,FALSE),"")</f>
        <v/>
      </c>
      <c r="H156" s="65"/>
      <c r="I156" s="65" t="str">
        <f>IFERROR(VLOOKUP($A156,PRIORIDAD_UNO[[Nombre del requerimiento]:[Fin Producción]],19,FALSE),"")</f>
        <v/>
      </c>
      <c r="J156" s="65"/>
      <c r="K156" s="65" t="str">
        <f>IFERROR(VLOOKUP($A156,PRIORIDAD_UNO[[Nombre del requerimiento]:[Fin Producción]],20,FALSE),"")</f>
        <v/>
      </c>
      <c r="L156" s="65"/>
      <c r="M156" s="65" t="str">
        <f>IFERROR(VLOOKUP($A156,PRIORIDAD_UNO[[Nombre del requerimiento]:[Fin Producción]],21,FALSE),"")</f>
        <v/>
      </c>
      <c r="N156" s="65"/>
    </row>
    <row r="157" spans="1:14">
      <c r="A157" s="62"/>
      <c r="B157" s="64" t="str">
        <f>IFERROR(
VLOOKUP(A157,PRIORIDAD_UNO[[Nombre del requerimiento]:[Tamaño]],5,FALSE),"")</f>
        <v/>
      </c>
      <c r="C157" s="65"/>
      <c r="D157" s="66" t="str">
        <f>IF(ISBLANK(A157),"",
IFERROR(IF(VLOOKUP($A157,PRIORIDAD_UNO[[Nombre del requerimiento]:[Fin Producción]],6,FALSE)=0,"",VLOOKUP($A157,PRIORIDAD_UNO[[Nombre del requerimiento]:[Fin Producción]],6,FALSE)),"No está en hoja Prioridad 1"))</f>
        <v/>
      </c>
      <c r="E157" s="65" t="str">
        <f>IFERROR(IF(VLOOKUP($A157,PRIORIDAD_UNO[[Nombre del requerimiento]:[Fin Producción]],17,FALSE)=0,"",VLOOKUP($A157,PRIORIDAD_UNO[[Nombre del requerimiento]:[Fin Producción]],17,FALSE)),"")</f>
        <v/>
      </c>
      <c r="F157" s="65"/>
      <c r="G157" s="65" t="str">
        <f>IFERROR(VLOOKUP($A157,PRIORIDAD_UNO[[Nombre del requerimiento]:[Fin Producción]],18,FALSE),"")</f>
        <v/>
      </c>
      <c r="H157" s="65"/>
      <c r="I157" s="65" t="str">
        <f>IFERROR(VLOOKUP($A157,PRIORIDAD_UNO[[Nombre del requerimiento]:[Fin Producción]],19,FALSE),"")</f>
        <v/>
      </c>
      <c r="J157" s="65"/>
      <c r="K157" s="65" t="str">
        <f>IFERROR(VLOOKUP($A157,PRIORIDAD_UNO[[Nombre del requerimiento]:[Fin Producción]],20,FALSE),"")</f>
        <v/>
      </c>
      <c r="L157" s="65"/>
      <c r="M157" s="65" t="str">
        <f>IFERROR(VLOOKUP($A157,PRIORIDAD_UNO[[Nombre del requerimiento]:[Fin Producción]],21,FALSE),"")</f>
        <v/>
      </c>
      <c r="N157" s="65"/>
    </row>
    <row r="158" spans="1:14">
      <c r="A158" s="62"/>
      <c r="B158" s="64" t="str">
        <f>IFERROR(
VLOOKUP(A158,PRIORIDAD_UNO[[Nombre del requerimiento]:[Tamaño]],5,FALSE),"")</f>
        <v/>
      </c>
      <c r="C158" s="65"/>
      <c r="D158" s="66" t="str">
        <f>IF(ISBLANK(A158),"",
IFERROR(IF(VLOOKUP($A158,PRIORIDAD_UNO[[Nombre del requerimiento]:[Fin Producción]],6,FALSE)=0,"",VLOOKUP($A158,PRIORIDAD_UNO[[Nombre del requerimiento]:[Fin Producción]],6,FALSE)),"No está en hoja Prioridad 1"))</f>
        <v/>
      </c>
      <c r="E158" s="65" t="str">
        <f>IFERROR(IF(VLOOKUP($A158,PRIORIDAD_UNO[[Nombre del requerimiento]:[Fin Producción]],17,FALSE)=0,"",VLOOKUP($A158,PRIORIDAD_UNO[[Nombre del requerimiento]:[Fin Producción]],17,FALSE)),"")</f>
        <v/>
      </c>
      <c r="F158" s="65"/>
      <c r="G158" s="65" t="str">
        <f>IFERROR(VLOOKUP($A158,PRIORIDAD_UNO[[Nombre del requerimiento]:[Fin Producción]],18,FALSE),"")</f>
        <v/>
      </c>
      <c r="H158" s="65"/>
      <c r="I158" s="65" t="str">
        <f>IFERROR(VLOOKUP($A158,PRIORIDAD_UNO[[Nombre del requerimiento]:[Fin Producción]],19,FALSE),"")</f>
        <v/>
      </c>
      <c r="J158" s="65"/>
      <c r="K158" s="65" t="str">
        <f>IFERROR(VLOOKUP($A158,PRIORIDAD_UNO[[Nombre del requerimiento]:[Fin Producción]],20,FALSE),"")</f>
        <v/>
      </c>
      <c r="L158" s="65"/>
      <c r="M158" s="65" t="str">
        <f>IFERROR(VLOOKUP($A158,PRIORIDAD_UNO[[Nombre del requerimiento]:[Fin Producción]],21,FALSE),"")</f>
        <v/>
      </c>
      <c r="N158" s="65"/>
    </row>
    <row r="159" spans="1:14">
      <c r="A159" s="62"/>
      <c r="B159" s="64" t="str">
        <f>IFERROR(
VLOOKUP(A159,PRIORIDAD_UNO[[Nombre del requerimiento]:[Tamaño]],5,FALSE),"")</f>
        <v/>
      </c>
      <c r="C159" s="65"/>
      <c r="D159" s="66" t="str">
        <f>IF(ISBLANK(A159),"",
IFERROR(IF(VLOOKUP($A159,PRIORIDAD_UNO[[Nombre del requerimiento]:[Fin Producción]],6,FALSE)=0,"",VLOOKUP($A159,PRIORIDAD_UNO[[Nombre del requerimiento]:[Fin Producción]],6,FALSE)),"No está en hoja Prioridad 1"))</f>
        <v/>
      </c>
      <c r="E159" s="65" t="str">
        <f>IFERROR(IF(VLOOKUP($A159,PRIORIDAD_UNO[[Nombre del requerimiento]:[Fin Producción]],17,FALSE)=0,"",VLOOKUP($A159,PRIORIDAD_UNO[[Nombre del requerimiento]:[Fin Producción]],17,FALSE)),"")</f>
        <v/>
      </c>
      <c r="F159" s="65"/>
      <c r="G159" s="65" t="str">
        <f>IFERROR(VLOOKUP($A159,PRIORIDAD_UNO[[Nombre del requerimiento]:[Fin Producción]],18,FALSE),"")</f>
        <v/>
      </c>
      <c r="H159" s="65"/>
      <c r="I159" s="65" t="str">
        <f>IFERROR(VLOOKUP($A159,PRIORIDAD_UNO[[Nombre del requerimiento]:[Fin Producción]],19,FALSE),"")</f>
        <v/>
      </c>
      <c r="J159" s="65"/>
      <c r="K159" s="65" t="str">
        <f>IFERROR(VLOOKUP($A159,PRIORIDAD_UNO[[Nombre del requerimiento]:[Fin Producción]],20,FALSE),"")</f>
        <v/>
      </c>
      <c r="L159" s="65"/>
      <c r="M159" s="65" t="str">
        <f>IFERROR(VLOOKUP($A159,PRIORIDAD_UNO[[Nombre del requerimiento]:[Fin Producción]],21,FALSE),"")</f>
        <v/>
      </c>
      <c r="N159" s="65"/>
    </row>
    <row r="160" spans="1:14">
      <c r="A160" s="62"/>
      <c r="B160" s="64" t="str">
        <f>IFERROR(
VLOOKUP(A160,PRIORIDAD_UNO[[Nombre del requerimiento]:[Tamaño]],5,FALSE),"")</f>
        <v/>
      </c>
      <c r="C160" s="65"/>
      <c r="D160" s="66" t="str">
        <f>IF(ISBLANK(A160),"",
IFERROR(IF(VLOOKUP($A160,PRIORIDAD_UNO[[Nombre del requerimiento]:[Fin Producción]],6,FALSE)=0,"",VLOOKUP($A160,PRIORIDAD_UNO[[Nombre del requerimiento]:[Fin Producción]],6,FALSE)),"No está en hoja Prioridad 1"))</f>
        <v/>
      </c>
      <c r="E160" s="65" t="str">
        <f>IFERROR(IF(VLOOKUP($A160,PRIORIDAD_UNO[[Nombre del requerimiento]:[Fin Producción]],17,FALSE)=0,"",VLOOKUP($A160,PRIORIDAD_UNO[[Nombre del requerimiento]:[Fin Producción]],17,FALSE)),"")</f>
        <v/>
      </c>
      <c r="F160" s="65"/>
      <c r="G160" s="65" t="str">
        <f>IFERROR(VLOOKUP($A160,PRIORIDAD_UNO[[Nombre del requerimiento]:[Fin Producción]],18,FALSE),"")</f>
        <v/>
      </c>
      <c r="H160" s="65"/>
      <c r="I160" s="65" t="str">
        <f>IFERROR(VLOOKUP($A160,PRIORIDAD_UNO[[Nombre del requerimiento]:[Fin Producción]],19,FALSE),"")</f>
        <v/>
      </c>
      <c r="J160" s="65"/>
      <c r="K160" s="65" t="str">
        <f>IFERROR(VLOOKUP($A160,PRIORIDAD_UNO[[Nombre del requerimiento]:[Fin Producción]],20,FALSE),"")</f>
        <v/>
      </c>
      <c r="L160" s="65"/>
      <c r="M160" s="65" t="str">
        <f>IFERROR(VLOOKUP($A160,PRIORIDAD_UNO[[Nombre del requerimiento]:[Fin Producción]],21,FALSE),"")</f>
        <v/>
      </c>
      <c r="N160" s="65"/>
    </row>
    <row r="161" spans="1:14">
      <c r="A161" s="62"/>
      <c r="B161" s="64" t="str">
        <f>IFERROR(
VLOOKUP(A161,PRIORIDAD_UNO[[Nombre del requerimiento]:[Tamaño]],5,FALSE),"")</f>
        <v/>
      </c>
      <c r="C161" s="65"/>
      <c r="D161" s="66" t="str">
        <f>IF(ISBLANK(A161),"",
IFERROR(IF(VLOOKUP($A161,PRIORIDAD_UNO[[Nombre del requerimiento]:[Fin Producción]],6,FALSE)=0,"",VLOOKUP($A161,PRIORIDAD_UNO[[Nombre del requerimiento]:[Fin Producción]],6,FALSE)),"No está en hoja Prioridad 1"))</f>
        <v/>
      </c>
      <c r="E161" s="65" t="str">
        <f>IFERROR(IF(VLOOKUP($A161,PRIORIDAD_UNO[[Nombre del requerimiento]:[Fin Producción]],17,FALSE)=0,"",VLOOKUP($A161,PRIORIDAD_UNO[[Nombre del requerimiento]:[Fin Producción]],17,FALSE)),"")</f>
        <v/>
      </c>
      <c r="F161" s="65"/>
      <c r="G161" s="65" t="str">
        <f>IFERROR(VLOOKUP($A161,PRIORIDAD_UNO[[Nombre del requerimiento]:[Fin Producción]],18,FALSE),"")</f>
        <v/>
      </c>
      <c r="H161" s="65"/>
      <c r="I161" s="65" t="str">
        <f>IFERROR(VLOOKUP($A161,PRIORIDAD_UNO[[Nombre del requerimiento]:[Fin Producción]],19,FALSE),"")</f>
        <v/>
      </c>
      <c r="J161" s="65"/>
      <c r="K161" s="65" t="str">
        <f>IFERROR(VLOOKUP($A161,PRIORIDAD_UNO[[Nombre del requerimiento]:[Fin Producción]],20,FALSE),"")</f>
        <v/>
      </c>
      <c r="L161" s="65"/>
      <c r="M161" s="65" t="str">
        <f>IFERROR(VLOOKUP($A161,PRIORIDAD_UNO[[Nombre del requerimiento]:[Fin Producción]],21,FALSE),"")</f>
        <v/>
      </c>
      <c r="N161" s="65"/>
    </row>
    <row r="162" spans="1:14">
      <c r="A162" s="62"/>
      <c r="B162" s="64" t="str">
        <f>IFERROR(
VLOOKUP(A162,PRIORIDAD_UNO[[Nombre del requerimiento]:[Tamaño]],5,FALSE),"")</f>
        <v/>
      </c>
      <c r="C162" s="65"/>
      <c r="D162" s="66" t="str">
        <f>IF(ISBLANK(A162),"",
IFERROR(IF(VLOOKUP($A162,PRIORIDAD_UNO[[Nombre del requerimiento]:[Fin Producción]],6,FALSE)=0,"",VLOOKUP($A162,PRIORIDAD_UNO[[Nombre del requerimiento]:[Fin Producción]],6,FALSE)),"No está en hoja Prioridad 1"))</f>
        <v/>
      </c>
      <c r="E162" s="65" t="str">
        <f>IFERROR(IF(VLOOKUP($A162,PRIORIDAD_UNO[[Nombre del requerimiento]:[Fin Producción]],17,FALSE)=0,"",VLOOKUP($A162,PRIORIDAD_UNO[[Nombre del requerimiento]:[Fin Producción]],17,FALSE)),"")</f>
        <v/>
      </c>
      <c r="F162" s="65"/>
      <c r="G162" s="65" t="str">
        <f>IFERROR(VLOOKUP($A162,PRIORIDAD_UNO[[Nombre del requerimiento]:[Fin Producción]],18,FALSE),"")</f>
        <v/>
      </c>
      <c r="H162" s="65"/>
      <c r="I162" s="65" t="str">
        <f>IFERROR(VLOOKUP($A162,PRIORIDAD_UNO[[Nombre del requerimiento]:[Fin Producción]],19,FALSE),"")</f>
        <v/>
      </c>
      <c r="J162" s="65"/>
      <c r="K162" s="65" t="str">
        <f>IFERROR(VLOOKUP($A162,PRIORIDAD_UNO[[Nombre del requerimiento]:[Fin Producción]],20,FALSE),"")</f>
        <v/>
      </c>
      <c r="L162" s="65"/>
      <c r="M162" s="65" t="str">
        <f>IFERROR(VLOOKUP($A162,PRIORIDAD_UNO[[Nombre del requerimiento]:[Fin Producción]],21,FALSE),"")</f>
        <v/>
      </c>
      <c r="N162" s="65"/>
    </row>
    <row r="163" spans="1:14">
      <c r="A163" s="62"/>
      <c r="B163" s="64" t="str">
        <f>IFERROR(
VLOOKUP(A163,PRIORIDAD_UNO[[Nombre del requerimiento]:[Tamaño]],5,FALSE),"")</f>
        <v/>
      </c>
      <c r="C163" s="65"/>
      <c r="D163" s="66" t="str">
        <f>IF(ISBLANK(A163),"",
IFERROR(IF(VLOOKUP($A163,PRIORIDAD_UNO[[Nombre del requerimiento]:[Fin Producción]],6,FALSE)=0,"",VLOOKUP($A163,PRIORIDAD_UNO[[Nombre del requerimiento]:[Fin Producción]],6,FALSE)),"No está en hoja Prioridad 1"))</f>
        <v/>
      </c>
      <c r="E163" s="65" t="str">
        <f>IFERROR(IF(VLOOKUP($A163,PRIORIDAD_UNO[[Nombre del requerimiento]:[Fin Producción]],17,FALSE)=0,"",VLOOKUP($A163,PRIORIDAD_UNO[[Nombre del requerimiento]:[Fin Producción]],17,FALSE)),"")</f>
        <v/>
      </c>
      <c r="F163" s="65"/>
      <c r="G163" s="65" t="str">
        <f>IFERROR(VLOOKUP($A163,PRIORIDAD_UNO[[Nombre del requerimiento]:[Fin Producción]],18,FALSE),"")</f>
        <v/>
      </c>
      <c r="H163" s="65"/>
      <c r="I163" s="65" t="str">
        <f>IFERROR(VLOOKUP($A163,PRIORIDAD_UNO[[Nombre del requerimiento]:[Fin Producción]],19,FALSE),"")</f>
        <v/>
      </c>
      <c r="J163" s="65"/>
      <c r="K163" s="65" t="str">
        <f>IFERROR(VLOOKUP($A163,PRIORIDAD_UNO[[Nombre del requerimiento]:[Fin Producción]],20,FALSE),"")</f>
        <v/>
      </c>
      <c r="L163" s="65"/>
      <c r="M163" s="65" t="str">
        <f>IFERROR(VLOOKUP($A163,PRIORIDAD_UNO[[Nombre del requerimiento]:[Fin Producción]],21,FALSE),"")</f>
        <v/>
      </c>
      <c r="N163" s="65"/>
    </row>
    <row r="164" spans="1:14">
      <c r="A164" s="62"/>
      <c r="B164" s="64" t="str">
        <f>IFERROR(
VLOOKUP(A164,PRIORIDAD_UNO[[Nombre del requerimiento]:[Tamaño]],5,FALSE),"")</f>
        <v/>
      </c>
      <c r="C164" s="65"/>
      <c r="D164" s="66" t="str">
        <f>IF(ISBLANK(A164),"",
IFERROR(IF(VLOOKUP($A164,PRIORIDAD_UNO[[Nombre del requerimiento]:[Fin Producción]],6,FALSE)=0,"",VLOOKUP($A164,PRIORIDAD_UNO[[Nombre del requerimiento]:[Fin Producción]],6,FALSE)),"No está en hoja Prioridad 1"))</f>
        <v/>
      </c>
      <c r="E164" s="65" t="str">
        <f>IFERROR(IF(VLOOKUP($A164,PRIORIDAD_UNO[[Nombre del requerimiento]:[Fin Producción]],17,FALSE)=0,"",VLOOKUP($A164,PRIORIDAD_UNO[[Nombre del requerimiento]:[Fin Producción]],17,FALSE)),"")</f>
        <v/>
      </c>
      <c r="F164" s="65"/>
      <c r="G164" s="65" t="str">
        <f>IFERROR(VLOOKUP($A164,PRIORIDAD_UNO[[Nombre del requerimiento]:[Fin Producción]],18,FALSE),"")</f>
        <v/>
      </c>
      <c r="H164" s="65"/>
      <c r="I164" s="65" t="str">
        <f>IFERROR(VLOOKUP($A164,PRIORIDAD_UNO[[Nombre del requerimiento]:[Fin Producción]],19,FALSE),"")</f>
        <v/>
      </c>
      <c r="J164" s="65"/>
      <c r="K164" s="65" t="str">
        <f>IFERROR(VLOOKUP($A164,PRIORIDAD_UNO[[Nombre del requerimiento]:[Fin Producción]],20,FALSE),"")</f>
        <v/>
      </c>
      <c r="L164" s="65"/>
      <c r="M164" s="65" t="str">
        <f>IFERROR(VLOOKUP($A164,PRIORIDAD_UNO[[Nombre del requerimiento]:[Fin Producción]],21,FALSE),"")</f>
        <v/>
      </c>
      <c r="N164" s="65"/>
    </row>
    <row r="165" spans="1:14">
      <c r="A165" s="62"/>
      <c r="B165" s="64" t="str">
        <f>IFERROR(
VLOOKUP(A165,PRIORIDAD_UNO[[Nombre del requerimiento]:[Tamaño]],5,FALSE),"")</f>
        <v/>
      </c>
      <c r="C165" s="65"/>
      <c r="D165" s="66" t="str">
        <f>IF(ISBLANK(A165),"",
IFERROR(IF(VLOOKUP($A165,PRIORIDAD_UNO[[Nombre del requerimiento]:[Fin Producción]],6,FALSE)=0,"",VLOOKUP($A165,PRIORIDAD_UNO[[Nombre del requerimiento]:[Fin Producción]],6,FALSE)),"No está en hoja Prioridad 1"))</f>
        <v/>
      </c>
      <c r="E165" s="65" t="str">
        <f>IFERROR(IF(VLOOKUP($A165,PRIORIDAD_UNO[[Nombre del requerimiento]:[Fin Producción]],17,FALSE)=0,"",VLOOKUP($A165,PRIORIDAD_UNO[[Nombre del requerimiento]:[Fin Producción]],17,FALSE)),"")</f>
        <v/>
      </c>
      <c r="F165" s="65"/>
      <c r="G165" s="65" t="str">
        <f>IFERROR(VLOOKUP($A165,PRIORIDAD_UNO[[Nombre del requerimiento]:[Fin Producción]],18,FALSE),"")</f>
        <v/>
      </c>
      <c r="H165" s="65"/>
      <c r="I165" s="65" t="str">
        <f>IFERROR(VLOOKUP($A165,PRIORIDAD_UNO[[Nombre del requerimiento]:[Fin Producción]],19,FALSE),"")</f>
        <v/>
      </c>
      <c r="J165" s="65"/>
      <c r="K165" s="65" t="str">
        <f>IFERROR(VLOOKUP($A165,PRIORIDAD_UNO[[Nombre del requerimiento]:[Fin Producción]],20,FALSE),"")</f>
        <v/>
      </c>
      <c r="L165" s="65"/>
      <c r="M165" s="65" t="str">
        <f>IFERROR(VLOOKUP($A165,PRIORIDAD_UNO[[Nombre del requerimiento]:[Fin Producción]],21,FALSE),"")</f>
        <v/>
      </c>
      <c r="N165" s="65"/>
    </row>
    <row r="166" spans="1:14">
      <c r="A166" s="62"/>
      <c r="B166" s="64" t="str">
        <f>IFERROR(
VLOOKUP(A166,PRIORIDAD_UNO[[Nombre del requerimiento]:[Tamaño]],5,FALSE),"")</f>
        <v/>
      </c>
      <c r="C166" s="65"/>
      <c r="D166" s="66" t="str">
        <f>IF(ISBLANK(A166),"",
IFERROR(IF(VLOOKUP($A166,PRIORIDAD_UNO[[Nombre del requerimiento]:[Fin Producción]],6,FALSE)=0,"",VLOOKUP($A166,PRIORIDAD_UNO[[Nombre del requerimiento]:[Fin Producción]],6,FALSE)),"No está en hoja Prioridad 1"))</f>
        <v/>
      </c>
      <c r="E166" s="65" t="str">
        <f>IFERROR(IF(VLOOKUP($A166,PRIORIDAD_UNO[[Nombre del requerimiento]:[Fin Producción]],17,FALSE)=0,"",VLOOKUP($A166,PRIORIDAD_UNO[[Nombre del requerimiento]:[Fin Producción]],17,FALSE)),"")</f>
        <v/>
      </c>
      <c r="F166" s="65"/>
      <c r="G166" s="65" t="str">
        <f>IFERROR(VLOOKUP($A166,PRIORIDAD_UNO[[Nombre del requerimiento]:[Fin Producción]],18,FALSE),"")</f>
        <v/>
      </c>
      <c r="H166" s="65"/>
      <c r="I166" s="65" t="str">
        <f>IFERROR(VLOOKUP($A166,PRIORIDAD_UNO[[Nombre del requerimiento]:[Fin Producción]],19,FALSE),"")</f>
        <v/>
      </c>
      <c r="J166" s="65"/>
      <c r="K166" s="65" t="str">
        <f>IFERROR(VLOOKUP($A166,PRIORIDAD_UNO[[Nombre del requerimiento]:[Fin Producción]],20,FALSE),"")</f>
        <v/>
      </c>
      <c r="L166" s="65"/>
      <c r="M166" s="65" t="str">
        <f>IFERROR(VLOOKUP($A166,PRIORIDAD_UNO[[Nombre del requerimiento]:[Fin Producción]],21,FALSE),"")</f>
        <v/>
      </c>
      <c r="N166" s="65"/>
    </row>
    <row r="167" spans="1:14">
      <c r="A167" s="62"/>
      <c r="B167" s="64" t="str">
        <f>IFERROR(
VLOOKUP(A167,PRIORIDAD_UNO[[Nombre del requerimiento]:[Tamaño]],5,FALSE),"")</f>
        <v/>
      </c>
      <c r="C167" s="65"/>
      <c r="D167" s="66" t="str">
        <f>IF(ISBLANK(A167),"",
IFERROR(IF(VLOOKUP($A167,PRIORIDAD_UNO[[Nombre del requerimiento]:[Fin Producción]],6,FALSE)=0,"",VLOOKUP($A167,PRIORIDAD_UNO[[Nombre del requerimiento]:[Fin Producción]],6,FALSE)),"No está en hoja Prioridad 1"))</f>
        <v/>
      </c>
      <c r="E167" s="65" t="str">
        <f>IFERROR(IF(VLOOKUP($A167,PRIORIDAD_UNO[[Nombre del requerimiento]:[Fin Producción]],17,FALSE)=0,"",VLOOKUP($A167,PRIORIDAD_UNO[[Nombre del requerimiento]:[Fin Producción]],17,FALSE)),"")</f>
        <v/>
      </c>
      <c r="F167" s="65"/>
      <c r="G167" s="65" t="str">
        <f>IFERROR(VLOOKUP($A167,PRIORIDAD_UNO[[Nombre del requerimiento]:[Fin Producción]],18,FALSE),"")</f>
        <v/>
      </c>
      <c r="H167" s="65"/>
      <c r="I167" s="65" t="str">
        <f>IFERROR(VLOOKUP($A167,PRIORIDAD_UNO[[Nombre del requerimiento]:[Fin Producción]],19,FALSE),"")</f>
        <v/>
      </c>
      <c r="J167" s="65"/>
      <c r="K167" s="65" t="str">
        <f>IFERROR(VLOOKUP($A167,PRIORIDAD_UNO[[Nombre del requerimiento]:[Fin Producción]],20,FALSE),"")</f>
        <v/>
      </c>
      <c r="L167" s="65"/>
      <c r="M167" s="65" t="str">
        <f>IFERROR(VLOOKUP($A167,PRIORIDAD_UNO[[Nombre del requerimiento]:[Fin Producción]],21,FALSE),"")</f>
        <v/>
      </c>
      <c r="N167" s="65"/>
    </row>
    <row r="168" spans="1:14">
      <c r="A168" s="62"/>
      <c r="B168" s="64" t="str">
        <f>IFERROR(
VLOOKUP(A168,PRIORIDAD_UNO[[Nombre del requerimiento]:[Tamaño]],5,FALSE),"")</f>
        <v/>
      </c>
      <c r="C168" s="65"/>
      <c r="D168" s="66" t="str">
        <f>IF(ISBLANK(A168),"",
IFERROR(IF(VLOOKUP($A168,PRIORIDAD_UNO[[Nombre del requerimiento]:[Fin Producción]],6,FALSE)=0,"",VLOOKUP($A168,PRIORIDAD_UNO[[Nombre del requerimiento]:[Fin Producción]],6,FALSE)),"No está en hoja Prioridad 1"))</f>
        <v/>
      </c>
      <c r="E168" s="65" t="str">
        <f>IFERROR(IF(VLOOKUP($A168,PRIORIDAD_UNO[[Nombre del requerimiento]:[Fin Producción]],17,FALSE)=0,"",VLOOKUP($A168,PRIORIDAD_UNO[[Nombre del requerimiento]:[Fin Producción]],17,FALSE)),"")</f>
        <v/>
      </c>
      <c r="F168" s="65"/>
      <c r="G168" s="65" t="str">
        <f>IFERROR(VLOOKUP($A168,PRIORIDAD_UNO[[Nombre del requerimiento]:[Fin Producción]],18,FALSE),"")</f>
        <v/>
      </c>
      <c r="H168" s="65"/>
      <c r="I168" s="65" t="str">
        <f>IFERROR(VLOOKUP($A168,PRIORIDAD_UNO[[Nombre del requerimiento]:[Fin Producción]],19,FALSE),"")</f>
        <v/>
      </c>
      <c r="J168" s="65"/>
      <c r="K168" s="65" t="str">
        <f>IFERROR(VLOOKUP($A168,PRIORIDAD_UNO[[Nombre del requerimiento]:[Fin Producción]],20,FALSE),"")</f>
        <v/>
      </c>
      <c r="L168" s="65"/>
      <c r="M168" s="65" t="str">
        <f>IFERROR(VLOOKUP($A168,PRIORIDAD_UNO[[Nombre del requerimiento]:[Fin Producción]],21,FALSE),"")</f>
        <v/>
      </c>
      <c r="N168" s="65"/>
    </row>
    <row r="169" spans="1:14">
      <c r="A169" s="62"/>
      <c r="B169" s="64" t="str">
        <f>IFERROR(
VLOOKUP(A169,PRIORIDAD_UNO[[Nombre del requerimiento]:[Tamaño]],5,FALSE),"")</f>
        <v/>
      </c>
      <c r="C169" s="65"/>
      <c r="D169" s="66" t="str">
        <f>IF(ISBLANK(A169),"",
IFERROR(IF(VLOOKUP($A169,PRIORIDAD_UNO[[Nombre del requerimiento]:[Fin Producción]],6,FALSE)=0,"",VLOOKUP($A169,PRIORIDAD_UNO[[Nombre del requerimiento]:[Fin Producción]],6,FALSE)),"No está en hoja Prioridad 1"))</f>
        <v/>
      </c>
      <c r="E169" s="65" t="str">
        <f>IFERROR(IF(VLOOKUP($A169,PRIORIDAD_UNO[[Nombre del requerimiento]:[Fin Producción]],17,FALSE)=0,"",VLOOKUP($A169,PRIORIDAD_UNO[[Nombre del requerimiento]:[Fin Producción]],17,FALSE)),"")</f>
        <v/>
      </c>
      <c r="F169" s="65"/>
      <c r="G169" s="65" t="str">
        <f>IFERROR(VLOOKUP($A169,PRIORIDAD_UNO[[Nombre del requerimiento]:[Fin Producción]],18,FALSE),"")</f>
        <v/>
      </c>
      <c r="H169" s="65"/>
      <c r="I169" s="65" t="str">
        <f>IFERROR(VLOOKUP($A169,PRIORIDAD_UNO[[Nombre del requerimiento]:[Fin Producción]],19,FALSE),"")</f>
        <v/>
      </c>
      <c r="J169" s="65"/>
      <c r="K169" s="65" t="str">
        <f>IFERROR(VLOOKUP($A169,PRIORIDAD_UNO[[Nombre del requerimiento]:[Fin Producción]],20,FALSE),"")</f>
        <v/>
      </c>
      <c r="L169" s="65"/>
      <c r="M169" s="65" t="str">
        <f>IFERROR(VLOOKUP($A169,PRIORIDAD_UNO[[Nombre del requerimiento]:[Fin Producción]],21,FALSE),"")</f>
        <v/>
      </c>
      <c r="N169" s="65"/>
    </row>
    <row r="170" spans="1:14">
      <c r="A170" s="62"/>
      <c r="B170" s="64" t="str">
        <f>IFERROR(
VLOOKUP(A170,PRIORIDAD_UNO[[Nombre del requerimiento]:[Tamaño]],5,FALSE),"")</f>
        <v/>
      </c>
      <c r="C170" s="65"/>
      <c r="D170" s="66" t="str">
        <f>IF(ISBLANK(A170),"",
IFERROR(IF(VLOOKUP($A170,PRIORIDAD_UNO[[Nombre del requerimiento]:[Fin Producción]],6,FALSE)=0,"",VLOOKUP($A170,PRIORIDAD_UNO[[Nombre del requerimiento]:[Fin Producción]],6,FALSE)),"No está en hoja Prioridad 1"))</f>
        <v/>
      </c>
      <c r="E170" s="65" t="str">
        <f>IFERROR(IF(VLOOKUP($A170,PRIORIDAD_UNO[[Nombre del requerimiento]:[Fin Producción]],17,FALSE)=0,"",VLOOKUP($A170,PRIORIDAD_UNO[[Nombre del requerimiento]:[Fin Producción]],17,FALSE)),"")</f>
        <v/>
      </c>
      <c r="F170" s="65"/>
      <c r="G170" s="65" t="str">
        <f>IFERROR(VLOOKUP($A170,PRIORIDAD_UNO[[Nombre del requerimiento]:[Fin Producción]],18,FALSE),"")</f>
        <v/>
      </c>
      <c r="H170" s="65"/>
      <c r="I170" s="65" t="str">
        <f>IFERROR(VLOOKUP($A170,PRIORIDAD_UNO[[Nombre del requerimiento]:[Fin Producción]],19,FALSE),"")</f>
        <v/>
      </c>
      <c r="J170" s="65"/>
      <c r="K170" s="65" t="str">
        <f>IFERROR(VLOOKUP($A170,PRIORIDAD_UNO[[Nombre del requerimiento]:[Fin Producción]],20,FALSE),"")</f>
        <v/>
      </c>
      <c r="L170" s="65"/>
      <c r="M170" s="65" t="str">
        <f>IFERROR(VLOOKUP($A170,PRIORIDAD_UNO[[Nombre del requerimiento]:[Fin Producción]],21,FALSE),"")</f>
        <v/>
      </c>
      <c r="N170" s="65"/>
    </row>
    <row r="171" spans="1:14">
      <c r="A171" s="70"/>
      <c r="B171" s="64" t="str">
        <f>IFERROR(
VLOOKUP(A171,PRIORIDAD_UNO[[Nombre del requerimiento]:[Tamaño]],5,FALSE),"")</f>
        <v/>
      </c>
      <c r="C171" s="65"/>
      <c r="D171" s="66" t="str">
        <f>IF(ISBLANK(A171),"",
IFERROR(IF(VLOOKUP($A171,PRIORIDAD_UNO[[Nombre del requerimiento]:[Fin Producción]],6,FALSE)=0,"",VLOOKUP($A171,PRIORIDAD_UNO[[Nombre del requerimiento]:[Fin Producción]],6,FALSE)),"No está en hoja Prioridad 1"))</f>
        <v/>
      </c>
      <c r="E171" s="65" t="str">
        <f>IFERROR(IF(VLOOKUP($A171,PRIORIDAD_UNO[[Nombre del requerimiento]:[Fin Producción]],17,FALSE)=0,"",VLOOKUP($A171,PRIORIDAD_UNO[[Nombre del requerimiento]:[Fin Producción]],17,FALSE)),"")</f>
        <v/>
      </c>
      <c r="F171" s="65"/>
      <c r="G171" s="65" t="str">
        <f>IFERROR(VLOOKUP($A171,PRIORIDAD_UNO[[Nombre del requerimiento]:[Fin Producción]],18,FALSE),"")</f>
        <v/>
      </c>
      <c r="H171" s="65"/>
      <c r="I171" s="65" t="str">
        <f>IFERROR(VLOOKUP($A171,PRIORIDAD_UNO[[Nombre del requerimiento]:[Fin Producción]],19,FALSE),"")</f>
        <v/>
      </c>
      <c r="J171" s="65"/>
      <c r="K171" s="65" t="str">
        <f>IFERROR(VLOOKUP($A171,PRIORIDAD_UNO[[Nombre del requerimiento]:[Fin Producción]],20,FALSE),"")</f>
        <v/>
      </c>
      <c r="L171" s="65"/>
      <c r="M171" s="65" t="str">
        <f>IFERROR(VLOOKUP($A171,PRIORIDAD_UNO[[Nombre del requerimiento]:[Fin Producción]],21,FALSE),"")</f>
        <v/>
      </c>
      <c r="N171" s="65"/>
    </row>
    <row r="172" spans="1:14">
      <c r="A172" s="70"/>
      <c r="B172" s="64" t="str">
        <f>IFERROR(
VLOOKUP(A172,PRIORIDAD_UNO[[Nombre del requerimiento]:[Tamaño]],5,FALSE),"")</f>
        <v/>
      </c>
      <c r="C172" s="65"/>
      <c r="D172" s="66" t="str">
        <f>IF(ISBLANK(A172),"",
IFERROR(IF(VLOOKUP($A172,PRIORIDAD_UNO[[Nombre del requerimiento]:[Fin Producción]],6,FALSE)=0,"",VLOOKUP($A172,PRIORIDAD_UNO[[Nombre del requerimiento]:[Fin Producción]],6,FALSE)),"No está en hoja Prioridad 1"))</f>
        <v/>
      </c>
      <c r="E172" s="65" t="str">
        <f>IFERROR(IF(VLOOKUP($A172,PRIORIDAD_UNO[[Nombre del requerimiento]:[Fin Producción]],17,FALSE)=0,"",VLOOKUP($A172,PRIORIDAD_UNO[[Nombre del requerimiento]:[Fin Producción]],17,FALSE)),"")</f>
        <v/>
      </c>
      <c r="F172" s="65"/>
      <c r="G172" s="65" t="str">
        <f>IFERROR(VLOOKUP($A172,PRIORIDAD_UNO[[Nombre del requerimiento]:[Fin Producción]],18,FALSE),"")</f>
        <v/>
      </c>
      <c r="H172" s="65"/>
      <c r="I172" s="65" t="str">
        <f>IFERROR(VLOOKUP($A172,PRIORIDAD_UNO[[Nombre del requerimiento]:[Fin Producción]],19,FALSE),"")</f>
        <v/>
      </c>
      <c r="J172" s="65"/>
      <c r="K172" s="65" t="str">
        <f>IFERROR(VLOOKUP($A172,PRIORIDAD_UNO[[Nombre del requerimiento]:[Fin Producción]],20,FALSE),"")</f>
        <v/>
      </c>
      <c r="L172" s="65"/>
      <c r="M172" s="65" t="str">
        <f>IFERROR(VLOOKUP($A172,PRIORIDAD_UNO[[Nombre del requerimiento]:[Fin Producción]],21,FALSE),"")</f>
        <v/>
      </c>
      <c r="N172" s="65"/>
    </row>
    <row r="173" spans="1:14">
      <c r="A173" s="70"/>
      <c r="B173" s="64" t="str">
        <f>IFERROR(
VLOOKUP(A173,PRIORIDAD_UNO[[Nombre del requerimiento]:[Tamaño]],5,FALSE),"")</f>
        <v/>
      </c>
      <c r="C173" s="65"/>
      <c r="D173" s="66" t="str">
        <f>IF(ISBLANK(A173),"",
IFERROR(IF(VLOOKUP($A173,PRIORIDAD_UNO[[Nombre del requerimiento]:[Fin Producción]],6,FALSE)=0,"",VLOOKUP($A173,PRIORIDAD_UNO[[Nombre del requerimiento]:[Fin Producción]],6,FALSE)),"No está en hoja Prioridad 1"))</f>
        <v/>
      </c>
      <c r="E173" s="65" t="str">
        <f>IFERROR(IF(VLOOKUP($A173,PRIORIDAD_UNO[[Nombre del requerimiento]:[Fin Producción]],17,FALSE)=0,"",VLOOKUP($A173,PRIORIDAD_UNO[[Nombre del requerimiento]:[Fin Producción]],17,FALSE)),"")</f>
        <v/>
      </c>
      <c r="F173" s="65"/>
      <c r="G173" s="65" t="str">
        <f>IFERROR(VLOOKUP($A173,PRIORIDAD_UNO[[Nombre del requerimiento]:[Fin Producción]],18,FALSE),"")</f>
        <v/>
      </c>
      <c r="H173" s="65"/>
      <c r="I173" s="65" t="str">
        <f>IFERROR(VLOOKUP($A173,PRIORIDAD_UNO[[Nombre del requerimiento]:[Fin Producción]],19,FALSE),"")</f>
        <v/>
      </c>
      <c r="J173" s="65"/>
      <c r="K173" s="65" t="str">
        <f>IFERROR(VLOOKUP($A173,PRIORIDAD_UNO[[Nombre del requerimiento]:[Fin Producción]],20,FALSE),"")</f>
        <v/>
      </c>
      <c r="L173" s="65"/>
      <c r="M173" s="65" t="str">
        <f>IFERROR(VLOOKUP($A173,PRIORIDAD_UNO[[Nombre del requerimiento]:[Fin Producción]],21,FALSE),"")</f>
        <v/>
      </c>
      <c r="N173" s="65"/>
    </row>
    <row r="174" spans="1:14">
      <c r="A174" s="70"/>
      <c r="B174" s="64" t="str">
        <f>IFERROR(
VLOOKUP(A174,PRIORIDAD_UNO[[Nombre del requerimiento]:[Tamaño]],5,FALSE),"")</f>
        <v/>
      </c>
      <c r="C174" s="65"/>
      <c r="D174" s="66" t="str">
        <f>IF(ISBLANK(A174),"",
IFERROR(IF(VLOOKUP($A174,PRIORIDAD_UNO[[Nombre del requerimiento]:[Fin Producción]],6,FALSE)=0,"",VLOOKUP($A174,PRIORIDAD_UNO[[Nombre del requerimiento]:[Fin Producción]],6,FALSE)),"No está en hoja Prioridad 1"))</f>
        <v/>
      </c>
      <c r="E174" s="65" t="str">
        <f>IFERROR(IF(VLOOKUP($A174,PRIORIDAD_UNO[[Nombre del requerimiento]:[Fin Producción]],17,FALSE)=0,"",VLOOKUP($A174,PRIORIDAD_UNO[[Nombre del requerimiento]:[Fin Producción]],17,FALSE)),"")</f>
        <v/>
      </c>
      <c r="F174" s="65"/>
      <c r="G174" s="65" t="str">
        <f>IFERROR(VLOOKUP($A174,PRIORIDAD_UNO[[Nombre del requerimiento]:[Fin Producción]],18,FALSE),"")</f>
        <v/>
      </c>
      <c r="H174" s="65"/>
      <c r="I174" s="65" t="str">
        <f>IFERROR(VLOOKUP($A174,PRIORIDAD_UNO[[Nombre del requerimiento]:[Fin Producción]],19,FALSE),"")</f>
        <v/>
      </c>
      <c r="J174" s="65"/>
      <c r="K174" s="65" t="str">
        <f>IFERROR(VLOOKUP($A174,PRIORIDAD_UNO[[Nombre del requerimiento]:[Fin Producción]],20,FALSE),"")</f>
        <v/>
      </c>
      <c r="L174" s="65"/>
      <c r="M174" s="65" t="str">
        <f>IFERROR(VLOOKUP($A174,PRIORIDAD_UNO[[Nombre del requerimiento]:[Fin Producción]],21,FALSE),"")</f>
        <v/>
      </c>
      <c r="N174" s="65"/>
    </row>
    <row r="175" spans="1:14">
      <c r="A175" s="70"/>
      <c r="B175" s="64" t="str">
        <f>IFERROR(
VLOOKUP(A175,PRIORIDAD_UNO[[Nombre del requerimiento]:[Tamaño]],5,FALSE),"")</f>
        <v/>
      </c>
      <c r="C175" s="65"/>
      <c r="D175" s="66" t="str">
        <f>IF(ISBLANK(A175),"",
IFERROR(IF(VLOOKUP($A175,PRIORIDAD_UNO[[Nombre del requerimiento]:[Fin Producción]],6,FALSE)=0,"",VLOOKUP($A175,PRIORIDAD_UNO[[Nombre del requerimiento]:[Fin Producción]],6,FALSE)),"No está en hoja Prioridad 1"))</f>
        <v/>
      </c>
      <c r="E175" s="65" t="str">
        <f>IFERROR(IF(VLOOKUP($A175,PRIORIDAD_UNO[[Nombre del requerimiento]:[Fin Producción]],17,FALSE)=0,"",VLOOKUP($A175,PRIORIDAD_UNO[[Nombre del requerimiento]:[Fin Producción]],17,FALSE)),"")</f>
        <v/>
      </c>
      <c r="F175" s="65"/>
      <c r="G175" s="65" t="str">
        <f>IFERROR(VLOOKUP($A175,PRIORIDAD_UNO[[Nombre del requerimiento]:[Fin Producción]],18,FALSE),"")</f>
        <v/>
      </c>
      <c r="H175" s="65"/>
      <c r="I175" s="65" t="str">
        <f>IFERROR(VLOOKUP($A175,PRIORIDAD_UNO[[Nombre del requerimiento]:[Fin Producción]],19,FALSE),"")</f>
        <v/>
      </c>
      <c r="J175" s="65"/>
      <c r="K175" s="65" t="str">
        <f>IFERROR(VLOOKUP($A175,PRIORIDAD_UNO[[Nombre del requerimiento]:[Fin Producción]],20,FALSE),"")</f>
        <v/>
      </c>
      <c r="L175" s="65"/>
      <c r="M175" s="65" t="str">
        <f>IFERROR(VLOOKUP($A175,PRIORIDAD_UNO[[Nombre del requerimiento]:[Fin Producción]],21,FALSE),"")</f>
        <v/>
      </c>
      <c r="N175" s="65"/>
    </row>
    <row r="176" spans="1:14">
      <c r="A176" s="70"/>
      <c r="B176" s="64" t="str">
        <f>IFERROR(
VLOOKUP(A176,PRIORIDAD_UNO[[Nombre del requerimiento]:[Tamaño]],5,FALSE),"")</f>
        <v/>
      </c>
      <c r="C176" s="65"/>
      <c r="D176" s="66" t="str">
        <f>IF(ISBLANK(A176),"",
IFERROR(IF(VLOOKUP($A176,PRIORIDAD_UNO[[Nombre del requerimiento]:[Fin Producción]],6,FALSE)=0,"",VLOOKUP($A176,PRIORIDAD_UNO[[Nombre del requerimiento]:[Fin Producción]],6,FALSE)),"No está en hoja Prioridad 1"))</f>
        <v/>
      </c>
      <c r="E176" s="65" t="str">
        <f>IFERROR(IF(VLOOKUP($A176,PRIORIDAD_UNO[[Nombre del requerimiento]:[Fin Producción]],17,FALSE)=0,"",VLOOKUP($A176,PRIORIDAD_UNO[[Nombre del requerimiento]:[Fin Producción]],17,FALSE)),"")</f>
        <v/>
      </c>
      <c r="F176" s="65"/>
      <c r="G176" s="65" t="str">
        <f>IFERROR(VLOOKUP($A176,PRIORIDAD_UNO[[Nombre del requerimiento]:[Fin Producción]],18,FALSE),"")</f>
        <v/>
      </c>
      <c r="H176" s="65"/>
      <c r="I176" s="65" t="str">
        <f>IFERROR(VLOOKUP($A176,PRIORIDAD_UNO[[Nombre del requerimiento]:[Fin Producción]],19,FALSE),"")</f>
        <v/>
      </c>
      <c r="J176" s="65"/>
      <c r="K176" s="65" t="str">
        <f>IFERROR(VLOOKUP($A176,PRIORIDAD_UNO[[Nombre del requerimiento]:[Fin Producción]],20,FALSE),"")</f>
        <v/>
      </c>
      <c r="L176" s="65"/>
      <c r="M176" s="65" t="str">
        <f>IFERROR(VLOOKUP($A176,PRIORIDAD_UNO[[Nombre del requerimiento]:[Fin Producción]],21,FALSE),"")</f>
        <v/>
      </c>
      <c r="N176" s="65"/>
    </row>
    <row r="177" spans="1:14">
      <c r="A177" s="70"/>
      <c r="B177" s="64" t="str">
        <f>IFERROR(
VLOOKUP(A177,PRIORIDAD_UNO[[Nombre del requerimiento]:[Tamaño]],5,FALSE),"")</f>
        <v/>
      </c>
      <c r="C177" s="65"/>
      <c r="D177" s="66" t="str">
        <f>IF(ISBLANK(A177),"",
IFERROR(IF(VLOOKUP($A177,PRIORIDAD_UNO[[Nombre del requerimiento]:[Fin Producción]],6,FALSE)=0,"",VLOOKUP($A177,PRIORIDAD_UNO[[Nombre del requerimiento]:[Fin Producción]],6,FALSE)),"No está en hoja Prioridad 1"))</f>
        <v/>
      </c>
      <c r="E177" s="65" t="str">
        <f>IFERROR(IF(VLOOKUP($A177,PRIORIDAD_UNO[[Nombre del requerimiento]:[Fin Producción]],17,FALSE)=0,"",VLOOKUP($A177,PRIORIDAD_UNO[[Nombre del requerimiento]:[Fin Producción]],17,FALSE)),"")</f>
        <v/>
      </c>
      <c r="F177" s="65"/>
      <c r="G177" s="65" t="str">
        <f>IFERROR(VLOOKUP($A177,PRIORIDAD_UNO[[Nombre del requerimiento]:[Fin Producción]],18,FALSE),"")</f>
        <v/>
      </c>
      <c r="H177" s="65"/>
      <c r="I177" s="65" t="str">
        <f>IFERROR(VLOOKUP($A177,PRIORIDAD_UNO[[Nombre del requerimiento]:[Fin Producción]],19,FALSE),"")</f>
        <v/>
      </c>
      <c r="J177" s="65"/>
      <c r="K177" s="65" t="str">
        <f>IFERROR(VLOOKUP($A177,PRIORIDAD_UNO[[Nombre del requerimiento]:[Fin Producción]],20,FALSE),"")</f>
        <v/>
      </c>
      <c r="L177" s="65"/>
      <c r="M177" s="65" t="str">
        <f>IFERROR(VLOOKUP($A177,PRIORIDAD_UNO[[Nombre del requerimiento]:[Fin Producción]],21,FALSE),"")</f>
        <v/>
      </c>
      <c r="N177" s="65"/>
    </row>
    <row r="178" spans="1:14">
      <c r="A178" s="70"/>
      <c r="B178" s="64" t="str">
        <f>IFERROR(
VLOOKUP(A178,PRIORIDAD_UNO[[Nombre del requerimiento]:[Tamaño]],5,FALSE),"")</f>
        <v/>
      </c>
      <c r="C178" s="65"/>
      <c r="D178" s="66" t="str">
        <f>IF(ISBLANK(A178),"",
IFERROR(IF(VLOOKUP($A178,PRIORIDAD_UNO[[Nombre del requerimiento]:[Fin Producción]],6,FALSE)=0,"",VLOOKUP($A178,PRIORIDAD_UNO[[Nombre del requerimiento]:[Fin Producción]],6,FALSE)),"No está en hoja Prioridad 1"))</f>
        <v/>
      </c>
      <c r="E178" s="65" t="str">
        <f>IFERROR(IF(VLOOKUP($A178,PRIORIDAD_UNO[[Nombre del requerimiento]:[Fin Producción]],17,FALSE)=0,"",VLOOKUP($A178,PRIORIDAD_UNO[[Nombre del requerimiento]:[Fin Producción]],17,FALSE)),"")</f>
        <v/>
      </c>
      <c r="F178" s="65"/>
      <c r="G178" s="65" t="str">
        <f>IFERROR(VLOOKUP($A178,PRIORIDAD_UNO[[Nombre del requerimiento]:[Fin Producción]],18,FALSE),"")</f>
        <v/>
      </c>
      <c r="H178" s="65"/>
      <c r="I178" s="65" t="str">
        <f>IFERROR(VLOOKUP($A178,PRIORIDAD_UNO[[Nombre del requerimiento]:[Fin Producción]],19,FALSE),"")</f>
        <v/>
      </c>
      <c r="J178" s="65"/>
      <c r="K178" s="65" t="str">
        <f>IFERROR(VLOOKUP($A178,PRIORIDAD_UNO[[Nombre del requerimiento]:[Fin Producción]],20,FALSE),"")</f>
        <v/>
      </c>
      <c r="L178" s="65"/>
      <c r="M178" s="65" t="str">
        <f>IFERROR(VLOOKUP($A178,PRIORIDAD_UNO[[Nombre del requerimiento]:[Fin Producción]],21,FALSE),"")</f>
        <v/>
      </c>
      <c r="N178" s="65"/>
    </row>
    <row r="179" spans="1:14">
      <c r="A179" s="70"/>
      <c r="B179" s="64" t="str">
        <f>IFERROR(
VLOOKUP(A179,PRIORIDAD_UNO[[Nombre del requerimiento]:[Tamaño]],5,FALSE),"")</f>
        <v/>
      </c>
      <c r="C179" s="65"/>
      <c r="D179" s="66" t="str">
        <f>IF(ISBLANK(A179),"",
IFERROR(IF(VLOOKUP($A179,PRIORIDAD_UNO[[Nombre del requerimiento]:[Fin Producción]],6,FALSE)=0,"",VLOOKUP($A179,PRIORIDAD_UNO[[Nombre del requerimiento]:[Fin Producción]],6,FALSE)),"No está en hoja Prioridad 1"))</f>
        <v/>
      </c>
      <c r="E179" s="65" t="str">
        <f>IFERROR(IF(VLOOKUP($A179,PRIORIDAD_UNO[[Nombre del requerimiento]:[Fin Producción]],17,FALSE)=0,"",VLOOKUP($A179,PRIORIDAD_UNO[[Nombre del requerimiento]:[Fin Producción]],17,FALSE)),"")</f>
        <v/>
      </c>
      <c r="F179" s="65"/>
      <c r="G179" s="65" t="str">
        <f>IFERROR(VLOOKUP($A179,PRIORIDAD_UNO[[Nombre del requerimiento]:[Fin Producción]],18,FALSE),"")</f>
        <v/>
      </c>
      <c r="H179" s="65"/>
      <c r="I179" s="65" t="str">
        <f>IFERROR(VLOOKUP($A179,PRIORIDAD_UNO[[Nombre del requerimiento]:[Fin Producción]],19,FALSE),"")</f>
        <v/>
      </c>
      <c r="J179" s="65"/>
      <c r="K179" s="65" t="str">
        <f>IFERROR(VLOOKUP($A179,PRIORIDAD_UNO[[Nombre del requerimiento]:[Fin Producción]],20,FALSE),"")</f>
        <v/>
      </c>
      <c r="L179" s="65"/>
      <c r="M179" s="65" t="str">
        <f>IFERROR(VLOOKUP($A179,PRIORIDAD_UNO[[Nombre del requerimiento]:[Fin Producción]],21,FALSE),"")</f>
        <v/>
      </c>
      <c r="N179" s="65"/>
    </row>
    <row r="180" spans="1:14">
      <c r="A180" s="70"/>
      <c r="B180" s="64" t="str">
        <f>IFERROR(
VLOOKUP(A180,PRIORIDAD_UNO[[Nombre del requerimiento]:[Tamaño]],5,FALSE),"")</f>
        <v/>
      </c>
      <c r="C180" s="65"/>
      <c r="D180" s="66" t="str">
        <f>IF(ISBLANK(A180),"",
IFERROR(IF(VLOOKUP($A180,PRIORIDAD_UNO[[Nombre del requerimiento]:[Fin Producción]],6,FALSE)=0,"",VLOOKUP($A180,PRIORIDAD_UNO[[Nombre del requerimiento]:[Fin Producción]],6,FALSE)),"No está en hoja Prioridad 1"))</f>
        <v/>
      </c>
      <c r="E180" s="65" t="str">
        <f>IFERROR(IF(VLOOKUP($A180,PRIORIDAD_UNO[[Nombre del requerimiento]:[Fin Producción]],17,FALSE)=0,"",VLOOKUP($A180,PRIORIDAD_UNO[[Nombre del requerimiento]:[Fin Producción]],17,FALSE)),"")</f>
        <v/>
      </c>
      <c r="F180" s="65"/>
      <c r="G180" s="65" t="str">
        <f>IFERROR(VLOOKUP($A180,PRIORIDAD_UNO[[Nombre del requerimiento]:[Fin Producción]],18,FALSE),"")</f>
        <v/>
      </c>
      <c r="H180" s="65"/>
      <c r="I180" s="65" t="str">
        <f>IFERROR(VLOOKUP($A180,PRIORIDAD_UNO[[Nombre del requerimiento]:[Fin Producción]],19,FALSE),"")</f>
        <v/>
      </c>
      <c r="J180" s="65"/>
      <c r="K180" s="65" t="str">
        <f>IFERROR(VLOOKUP($A180,PRIORIDAD_UNO[[Nombre del requerimiento]:[Fin Producción]],20,FALSE),"")</f>
        <v/>
      </c>
      <c r="L180" s="65"/>
      <c r="M180" s="65" t="str">
        <f>IFERROR(VLOOKUP($A180,PRIORIDAD_UNO[[Nombre del requerimiento]:[Fin Producción]],21,FALSE),"")</f>
        <v/>
      </c>
      <c r="N180" s="65"/>
    </row>
    <row r="181" spans="1:14">
      <c r="A181" s="70"/>
      <c r="B181" s="64" t="str">
        <f>IFERROR(
VLOOKUP(A181,PRIORIDAD_UNO[[Nombre del requerimiento]:[Tamaño]],5,FALSE),"")</f>
        <v/>
      </c>
      <c r="C181" s="65"/>
      <c r="D181" s="66" t="str">
        <f>IF(ISBLANK(A181),"",
IFERROR(IF(VLOOKUP($A181,PRIORIDAD_UNO[[Nombre del requerimiento]:[Fin Producción]],6,FALSE)=0,"",VLOOKUP($A181,PRIORIDAD_UNO[[Nombre del requerimiento]:[Fin Producción]],6,FALSE)),"No está en hoja Prioridad 1"))</f>
        <v/>
      </c>
      <c r="E181" s="65" t="str">
        <f>IFERROR(IF(VLOOKUP($A181,PRIORIDAD_UNO[[Nombre del requerimiento]:[Fin Producción]],17,FALSE)=0,"",VLOOKUP($A181,PRIORIDAD_UNO[[Nombre del requerimiento]:[Fin Producción]],17,FALSE)),"")</f>
        <v/>
      </c>
      <c r="F181" s="65"/>
      <c r="G181" s="65" t="str">
        <f>IFERROR(VLOOKUP($A181,PRIORIDAD_UNO[[Nombre del requerimiento]:[Fin Producción]],18,FALSE),"")</f>
        <v/>
      </c>
      <c r="H181" s="65"/>
      <c r="I181" s="65" t="str">
        <f>IFERROR(VLOOKUP($A181,PRIORIDAD_UNO[[Nombre del requerimiento]:[Fin Producción]],19,FALSE),"")</f>
        <v/>
      </c>
      <c r="J181" s="65"/>
      <c r="K181" s="65" t="str">
        <f>IFERROR(VLOOKUP($A181,PRIORIDAD_UNO[[Nombre del requerimiento]:[Fin Producción]],20,FALSE),"")</f>
        <v/>
      </c>
      <c r="L181" s="65"/>
      <c r="M181" s="65" t="str">
        <f>IFERROR(VLOOKUP($A181,PRIORIDAD_UNO[[Nombre del requerimiento]:[Fin Producción]],21,FALSE),"")</f>
        <v/>
      </c>
      <c r="N181" s="65"/>
    </row>
    <row r="182" spans="1:14">
      <c r="A182" s="70"/>
      <c r="B182" s="64" t="str">
        <f>IFERROR(
VLOOKUP(A182,PRIORIDAD_UNO[[Nombre del requerimiento]:[Tamaño]],5,FALSE),"")</f>
        <v/>
      </c>
      <c r="C182" s="65"/>
      <c r="D182" s="66" t="str">
        <f>IF(ISBLANK(A182),"",
IFERROR(IF(VLOOKUP($A182,PRIORIDAD_UNO[[Nombre del requerimiento]:[Fin Producción]],6,FALSE)=0,"",VLOOKUP($A182,PRIORIDAD_UNO[[Nombre del requerimiento]:[Fin Producción]],6,FALSE)),"No está en hoja Prioridad 1"))</f>
        <v/>
      </c>
      <c r="E182" s="65" t="str">
        <f>IFERROR(IF(VLOOKUP($A182,PRIORIDAD_UNO[[Nombre del requerimiento]:[Fin Producción]],17,FALSE)=0,"",VLOOKUP($A182,PRIORIDAD_UNO[[Nombre del requerimiento]:[Fin Producción]],17,FALSE)),"")</f>
        <v/>
      </c>
      <c r="F182" s="65"/>
      <c r="G182" s="65" t="str">
        <f>IFERROR(VLOOKUP($A182,PRIORIDAD_UNO[[Nombre del requerimiento]:[Fin Producción]],18,FALSE),"")</f>
        <v/>
      </c>
      <c r="H182" s="65"/>
      <c r="I182" s="65" t="str">
        <f>IFERROR(VLOOKUP($A182,PRIORIDAD_UNO[[Nombre del requerimiento]:[Fin Producción]],19,FALSE),"")</f>
        <v/>
      </c>
      <c r="J182" s="65"/>
      <c r="K182" s="65" t="str">
        <f>IFERROR(VLOOKUP($A182,PRIORIDAD_UNO[[Nombre del requerimiento]:[Fin Producción]],20,FALSE),"")</f>
        <v/>
      </c>
      <c r="L182" s="65"/>
      <c r="M182" s="65" t="str">
        <f>IFERROR(VLOOKUP($A182,PRIORIDAD_UNO[[Nombre del requerimiento]:[Fin Producción]],21,FALSE),"")</f>
        <v/>
      </c>
      <c r="N182" s="65"/>
    </row>
    <row r="183" spans="1:14">
      <c r="A183" s="70"/>
      <c r="B183" s="64" t="str">
        <f>IFERROR(
VLOOKUP(A183,PRIORIDAD_UNO[[Nombre del requerimiento]:[Tamaño]],5,FALSE),"")</f>
        <v/>
      </c>
      <c r="C183" s="65"/>
      <c r="D183" s="66" t="str">
        <f>IF(ISBLANK(A183),"",
IFERROR(IF(VLOOKUP($A183,PRIORIDAD_UNO[[Nombre del requerimiento]:[Fin Producción]],6,FALSE)=0,"",VLOOKUP($A183,PRIORIDAD_UNO[[Nombre del requerimiento]:[Fin Producción]],6,FALSE)),"No está en hoja Prioridad 1"))</f>
        <v/>
      </c>
      <c r="E183" s="65" t="str">
        <f>IFERROR(IF(VLOOKUP($A183,PRIORIDAD_UNO[[Nombre del requerimiento]:[Fin Producción]],17,FALSE)=0,"",VLOOKUP($A183,PRIORIDAD_UNO[[Nombre del requerimiento]:[Fin Producción]],17,FALSE)),"")</f>
        <v/>
      </c>
      <c r="F183" s="65"/>
      <c r="G183" s="65" t="str">
        <f>IFERROR(VLOOKUP($A183,PRIORIDAD_UNO[[Nombre del requerimiento]:[Fin Producción]],18,FALSE),"")</f>
        <v/>
      </c>
      <c r="H183" s="65"/>
      <c r="I183" s="65" t="str">
        <f>IFERROR(VLOOKUP($A183,PRIORIDAD_UNO[[Nombre del requerimiento]:[Fin Producción]],19,FALSE),"")</f>
        <v/>
      </c>
      <c r="J183" s="65"/>
      <c r="K183" s="65" t="str">
        <f>IFERROR(VLOOKUP($A183,PRIORIDAD_UNO[[Nombre del requerimiento]:[Fin Producción]],20,FALSE),"")</f>
        <v/>
      </c>
      <c r="L183" s="65"/>
      <c r="M183" s="65" t="str">
        <f>IFERROR(VLOOKUP($A183,PRIORIDAD_UNO[[Nombre del requerimiento]:[Fin Producción]],21,FALSE),"")</f>
        <v/>
      </c>
      <c r="N183" s="65"/>
    </row>
    <row r="184" spans="1:14">
      <c r="A184" s="70"/>
      <c r="B184" s="64" t="str">
        <f>IFERROR(
VLOOKUP(A184,PRIORIDAD_UNO[[Nombre del requerimiento]:[Tamaño]],5,FALSE),"")</f>
        <v/>
      </c>
      <c r="C184" s="65"/>
      <c r="D184" s="66" t="str">
        <f>IF(ISBLANK(A184),"",
IFERROR(IF(VLOOKUP($A184,PRIORIDAD_UNO[[Nombre del requerimiento]:[Fin Producción]],6,FALSE)=0,"",VLOOKUP($A184,PRIORIDAD_UNO[[Nombre del requerimiento]:[Fin Producción]],6,FALSE)),"No está en hoja Prioridad 1"))</f>
        <v/>
      </c>
      <c r="E184" s="65" t="str">
        <f>IFERROR(IF(VLOOKUP($A184,PRIORIDAD_UNO[[Nombre del requerimiento]:[Fin Producción]],17,FALSE)=0,"",VLOOKUP($A184,PRIORIDAD_UNO[[Nombre del requerimiento]:[Fin Producción]],17,FALSE)),"")</f>
        <v/>
      </c>
      <c r="F184" s="65"/>
      <c r="G184" s="65" t="str">
        <f>IFERROR(VLOOKUP($A184,PRIORIDAD_UNO[[Nombre del requerimiento]:[Fin Producción]],18,FALSE),"")</f>
        <v/>
      </c>
      <c r="H184" s="65"/>
      <c r="I184" s="65" t="str">
        <f>IFERROR(VLOOKUP($A184,PRIORIDAD_UNO[[Nombre del requerimiento]:[Fin Producción]],19,FALSE),"")</f>
        <v/>
      </c>
      <c r="J184" s="65"/>
      <c r="K184" s="65" t="str">
        <f>IFERROR(VLOOKUP($A184,PRIORIDAD_UNO[[Nombre del requerimiento]:[Fin Producción]],20,FALSE),"")</f>
        <v/>
      </c>
      <c r="L184" s="65"/>
      <c r="M184" s="65" t="str">
        <f>IFERROR(VLOOKUP($A184,PRIORIDAD_UNO[[Nombre del requerimiento]:[Fin Producción]],21,FALSE),"")</f>
        <v/>
      </c>
      <c r="N184" s="65"/>
    </row>
    <row r="185" spans="1:14">
      <c r="A185" s="70"/>
      <c r="B185" s="64" t="str">
        <f>IFERROR(
VLOOKUP(A185,PRIORIDAD_UNO[[Nombre del requerimiento]:[Tamaño]],5,FALSE),"")</f>
        <v/>
      </c>
      <c r="C185" s="65"/>
      <c r="D185" s="66" t="str">
        <f>IF(ISBLANK(A185),"",
IFERROR(IF(VLOOKUP($A185,PRIORIDAD_UNO[[Nombre del requerimiento]:[Fin Producción]],6,FALSE)=0,"",VLOOKUP($A185,PRIORIDAD_UNO[[Nombre del requerimiento]:[Fin Producción]],6,FALSE)),"No está en hoja Prioridad 1"))</f>
        <v/>
      </c>
      <c r="E185" s="65" t="str">
        <f>IFERROR(IF(VLOOKUP($A185,PRIORIDAD_UNO[[Nombre del requerimiento]:[Fin Producción]],17,FALSE)=0,"",VLOOKUP($A185,PRIORIDAD_UNO[[Nombre del requerimiento]:[Fin Producción]],17,FALSE)),"")</f>
        <v/>
      </c>
      <c r="F185" s="65"/>
      <c r="G185" s="65" t="str">
        <f>IFERROR(VLOOKUP($A185,PRIORIDAD_UNO[[Nombre del requerimiento]:[Fin Producción]],18,FALSE),"")</f>
        <v/>
      </c>
      <c r="H185" s="65"/>
      <c r="I185" s="65" t="str">
        <f>IFERROR(VLOOKUP($A185,PRIORIDAD_UNO[[Nombre del requerimiento]:[Fin Producción]],19,FALSE),"")</f>
        <v/>
      </c>
      <c r="J185" s="65"/>
      <c r="K185" s="65" t="str">
        <f>IFERROR(VLOOKUP($A185,PRIORIDAD_UNO[[Nombre del requerimiento]:[Fin Producción]],20,FALSE),"")</f>
        <v/>
      </c>
      <c r="L185" s="65"/>
      <c r="M185" s="65" t="str">
        <f>IFERROR(VLOOKUP($A185,PRIORIDAD_UNO[[Nombre del requerimiento]:[Fin Producción]],21,FALSE),"")</f>
        <v/>
      </c>
      <c r="N185" s="65"/>
    </row>
    <row r="186" spans="1:14">
      <c r="A186" s="70"/>
      <c r="B186" s="64" t="str">
        <f>IFERROR(
VLOOKUP(A186,PRIORIDAD_UNO[[Nombre del requerimiento]:[Tamaño]],5,FALSE),"")</f>
        <v/>
      </c>
      <c r="C186" s="65"/>
      <c r="D186" s="66" t="str">
        <f>IF(ISBLANK(A186),"",
IFERROR(IF(VLOOKUP($A186,PRIORIDAD_UNO[[Nombre del requerimiento]:[Fin Producción]],6,FALSE)=0,"",VLOOKUP($A186,PRIORIDAD_UNO[[Nombre del requerimiento]:[Fin Producción]],6,FALSE)),"No está en hoja Prioridad 1"))</f>
        <v/>
      </c>
      <c r="E186" s="65" t="str">
        <f>IFERROR(IF(VLOOKUP($A186,PRIORIDAD_UNO[[Nombre del requerimiento]:[Fin Producción]],17,FALSE)=0,"",VLOOKUP($A186,PRIORIDAD_UNO[[Nombre del requerimiento]:[Fin Producción]],17,FALSE)),"")</f>
        <v/>
      </c>
      <c r="F186" s="65"/>
      <c r="G186" s="65" t="str">
        <f>IFERROR(VLOOKUP($A186,PRIORIDAD_UNO[[Nombre del requerimiento]:[Fin Producción]],18,FALSE),"")</f>
        <v/>
      </c>
      <c r="H186" s="65"/>
      <c r="I186" s="65" t="str">
        <f>IFERROR(VLOOKUP($A186,PRIORIDAD_UNO[[Nombre del requerimiento]:[Fin Producción]],19,FALSE),"")</f>
        <v/>
      </c>
      <c r="J186" s="65"/>
      <c r="K186" s="65" t="str">
        <f>IFERROR(VLOOKUP($A186,PRIORIDAD_UNO[[Nombre del requerimiento]:[Fin Producción]],20,FALSE),"")</f>
        <v/>
      </c>
      <c r="L186" s="65"/>
      <c r="M186" s="65" t="str">
        <f>IFERROR(VLOOKUP($A186,PRIORIDAD_UNO[[Nombre del requerimiento]:[Fin Producción]],21,FALSE),"")</f>
        <v/>
      </c>
      <c r="N186" s="65"/>
    </row>
    <row r="187" spans="1:14">
      <c r="A187" s="70"/>
      <c r="B187" s="64" t="str">
        <f>IFERROR(
VLOOKUP(A187,PRIORIDAD_UNO[[Nombre del requerimiento]:[Tamaño]],5,FALSE),"")</f>
        <v/>
      </c>
      <c r="C187" s="65"/>
      <c r="D187" s="66" t="str">
        <f>IF(ISBLANK(A187),"",
IFERROR(IF(VLOOKUP($A187,PRIORIDAD_UNO[[Nombre del requerimiento]:[Fin Producción]],6,FALSE)=0,"",VLOOKUP($A187,PRIORIDAD_UNO[[Nombre del requerimiento]:[Fin Producción]],6,FALSE)),"No está en hoja Prioridad 1"))</f>
        <v/>
      </c>
      <c r="E187" s="65" t="str">
        <f>IFERROR(IF(VLOOKUP($A187,PRIORIDAD_UNO[[Nombre del requerimiento]:[Fin Producción]],17,FALSE)=0,"",VLOOKUP($A187,PRIORIDAD_UNO[[Nombre del requerimiento]:[Fin Producción]],17,FALSE)),"")</f>
        <v/>
      </c>
      <c r="F187" s="65"/>
      <c r="G187" s="65" t="str">
        <f>IFERROR(VLOOKUP($A187,PRIORIDAD_UNO[[Nombre del requerimiento]:[Fin Producción]],18,FALSE),"")</f>
        <v/>
      </c>
      <c r="H187" s="65"/>
      <c r="I187" s="65" t="str">
        <f>IFERROR(VLOOKUP($A187,PRIORIDAD_UNO[[Nombre del requerimiento]:[Fin Producción]],19,FALSE),"")</f>
        <v/>
      </c>
      <c r="J187" s="65"/>
      <c r="K187" s="65" t="str">
        <f>IFERROR(VLOOKUP($A187,PRIORIDAD_UNO[[Nombre del requerimiento]:[Fin Producción]],20,FALSE),"")</f>
        <v/>
      </c>
      <c r="L187" s="65"/>
      <c r="M187" s="65" t="str">
        <f>IFERROR(VLOOKUP($A187,PRIORIDAD_UNO[[Nombre del requerimiento]:[Fin Producción]],21,FALSE),"")</f>
        <v/>
      </c>
      <c r="N187" s="65"/>
    </row>
    <row r="188" spans="1:14">
      <c r="A188" s="70"/>
      <c r="B188" s="64" t="str">
        <f>IFERROR(
VLOOKUP(A188,PRIORIDAD_UNO[[Nombre del requerimiento]:[Tamaño]],5,FALSE),"")</f>
        <v/>
      </c>
      <c r="C188" s="65"/>
      <c r="D188" s="66" t="str">
        <f>IF(ISBLANK(A188),"",
IFERROR(IF(VLOOKUP($A188,PRIORIDAD_UNO[[Nombre del requerimiento]:[Fin Producción]],6,FALSE)=0,"",VLOOKUP($A188,PRIORIDAD_UNO[[Nombre del requerimiento]:[Fin Producción]],6,FALSE)),"No está en hoja Prioridad 1"))</f>
        <v/>
      </c>
      <c r="E188" s="65" t="str">
        <f>IFERROR(IF(VLOOKUP($A188,PRIORIDAD_UNO[[Nombre del requerimiento]:[Fin Producción]],17,FALSE)=0,"",VLOOKUP($A188,PRIORIDAD_UNO[[Nombre del requerimiento]:[Fin Producción]],17,FALSE)),"")</f>
        <v/>
      </c>
      <c r="F188" s="65"/>
      <c r="G188" s="65" t="str">
        <f>IFERROR(VLOOKUP($A188,PRIORIDAD_UNO[[Nombre del requerimiento]:[Fin Producción]],18,FALSE),"")</f>
        <v/>
      </c>
      <c r="H188" s="65"/>
      <c r="I188" s="65" t="str">
        <f>IFERROR(VLOOKUP($A188,PRIORIDAD_UNO[[Nombre del requerimiento]:[Fin Producción]],19,FALSE),"")</f>
        <v/>
      </c>
      <c r="J188" s="65"/>
      <c r="K188" s="65" t="str">
        <f>IFERROR(VLOOKUP($A188,PRIORIDAD_UNO[[Nombre del requerimiento]:[Fin Producción]],20,FALSE),"")</f>
        <v/>
      </c>
      <c r="L188" s="65"/>
      <c r="M188" s="65" t="str">
        <f>IFERROR(VLOOKUP($A188,PRIORIDAD_UNO[[Nombre del requerimiento]:[Fin Producción]],21,FALSE),"")</f>
        <v/>
      </c>
      <c r="N188" s="65"/>
    </row>
    <row r="189" spans="1:14">
      <c r="A189" s="70"/>
      <c r="B189" s="64" t="str">
        <f>IFERROR(
VLOOKUP(A189,PRIORIDAD_UNO[[Nombre del requerimiento]:[Tamaño]],5,FALSE),"")</f>
        <v/>
      </c>
      <c r="C189" s="65"/>
      <c r="D189" s="66" t="str">
        <f>IF(ISBLANK(A189),"",
IFERROR(IF(VLOOKUP($A189,PRIORIDAD_UNO[[Nombre del requerimiento]:[Fin Producción]],6,FALSE)=0,"",VLOOKUP($A189,PRIORIDAD_UNO[[Nombre del requerimiento]:[Fin Producción]],6,FALSE)),"No está en hoja Prioridad 1"))</f>
        <v/>
      </c>
      <c r="E189" s="65" t="str">
        <f>IFERROR(IF(VLOOKUP($A189,PRIORIDAD_UNO[[Nombre del requerimiento]:[Fin Producción]],17,FALSE)=0,"",VLOOKUP($A189,PRIORIDAD_UNO[[Nombre del requerimiento]:[Fin Producción]],17,FALSE)),"")</f>
        <v/>
      </c>
      <c r="F189" s="65"/>
      <c r="G189" s="65" t="str">
        <f>IFERROR(VLOOKUP($A189,PRIORIDAD_UNO[[Nombre del requerimiento]:[Fin Producción]],18,FALSE),"")</f>
        <v/>
      </c>
      <c r="H189" s="65"/>
      <c r="I189" s="65" t="str">
        <f>IFERROR(VLOOKUP($A189,PRIORIDAD_UNO[[Nombre del requerimiento]:[Fin Producción]],19,FALSE),"")</f>
        <v/>
      </c>
      <c r="J189" s="65"/>
      <c r="K189" s="65" t="str">
        <f>IFERROR(VLOOKUP($A189,PRIORIDAD_UNO[[Nombre del requerimiento]:[Fin Producción]],20,FALSE),"")</f>
        <v/>
      </c>
      <c r="L189" s="65"/>
      <c r="M189" s="65" t="str">
        <f>IFERROR(VLOOKUP($A189,PRIORIDAD_UNO[[Nombre del requerimiento]:[Fin Producción]],21,FALSE),"")</f>
        <v/>
      </c>
      <c r="N189" s="65"/>
    </row>
    <row r="190" spans="1:14">
      <c r="A190" s="70"/>
      <c r="B190" s="64" t="str">
        <f>IFERROR(
VLOOKUP(A190,PRIORIDAD_UNO[[Nombre del requerimiento]:[Tamaño]],5,FALSE),"")</f>
        <v/>
      </c>
      <c r="C190" s="65"/>
      <c r="D190" s="66" t="str">
        <f>IF(ISBLANK(A190),"",
IFERROR(IF(VLOOKUP($A190,PRIORIDAD_UNO[[Nombre del requerimiento]:[Fin Producción]],6,FALSE)=0,"",VLOOKUP($A190,PRIORIDAD_UNO[[Nombre del requerimiento]:[Fin Producción]],6,FALSE)),"No está en hoja Prioridad 1"))</f>
        <v/>
      </c>
      <c r="E190" s="65" t="str">
        <f>IFERROR(IF(VLOOKUP($A190,PRIORIDAD_UNO[[Nombre del requerimiento]:[Fin Producción]],17,FALSE)=0,"",VLOOKUP($A190,PRIORIDAD_UNO[[Nombre del requerimiento]:[Fin Producción]],17,FALSE)),"")</f>
        <v/>
      </c>
      <c r="F190" s="65"/>
      <c r="G190" s="65" t="str">
        <f>IFERROR(VLOOKUP($A190,PRIORIDAD_UNO[[Nombre del requerimiento]:[Fin Producción]],18,FALSE),"")</f>
        <v/>
      </c>
      <c r="H190" s="65"/>
      <c r="I190" s="65" t="str">
        <f>IFERROR(VLOOKUP($A190,PRIORIDAD_UNO[[Nombre del requerimiento]:[Fin Producción]],19,FALSE),"")</f>
        <v/>
      </c>
      <c r="J190" s="65"/>
      <c r="K190" s="65" t="str">
        <f>IFERROR(VLOOKUP($A190,PRIORIDAD_UNO[[Nombre del requerimiento]:[Fin Producción]],20,FALSE),"")</f>
        <v/>
      </c>
      <c r="L190" s="65"/>
      <c r="M190" s="65" t="str">
        <f>IFERROR(VLOOKUP($A190,PRIORIDAD_UNO[[Nombre del requerimiento]:[Fin Producción]],21,FALSE),"")</f>
        <v/>
      </c>
      <c r="N190" s="65"/>
    </row>
    <row r="191" spans="1:14">
      <c r="A191" s="70"/>
      <c r="B191" s="64" t="str">
        <f>IFERROR(
VLOOKUP(A191,PRIORIDAD_UNO[[Nombre del requerimiento]:[Tamaño]],5,FALSE),"")</f>
        <v/>
      </c>
      <c r="C191" s="65"/>
      <c r="D191" s="66" t="str">
        <f>IF(ISBLANK(A191),"",
IFERROR(IF(VLOOKUP($A191,PRIORIDAD_UNO[[Nombre del requerimiento]:[Fin Producción]],6,FALSE)=0,"",VLOOKUP($A191,PRIORIDAD_UNO[[Nombre del requerimiento]:[Fin Producción]],6,FALSE)),"No está en hoja Prioridad 1"))</f>
        <v/>
      </c>
      <c r="E191" s="65" t="str">
        <f>IFERROR(IF(VLOOKUP($A191,PRIORIDAD_UNO[[Nombre del requerimiento]:[Fin Producción]],17,FALSE)=0,"",VLOOKUP($A191,PRIORIDAD_UNO[[Nombre del requerimiento]:[Fin Producción]],17,FALSE)),"")</f>
        <v/>
      </c>
      <c r="F191" s="65"/>
      <c r="G191" s="65" t="str">
        <f>IFERROR(VLOOKUP($A191,PRIORIDAD_UNO[[Nombre del requerimiento]:[Fin Producción]],18,FALSE),"")</f>
        <v/>
      </c>
      <c r="H191" s="65"/>
      <c r="I191" s="65" t="str">
        <f>IFERROR(VLOOKUP($A191,PRIORIDAD_UNO[[Nombre del requerimiento]:[Fin Producción]],19,FALSE),"")</f>
        <v/>
      </c>
      <c r="J191" s="65"/>
      <c r="K191" s="65" t="str">
        <f>IFERROR(VLOOKUP($A191,PRIORIDAD_UNO[[Nombre del requerimiento]:[Fin Producción]],20,FALSE),"")</f>
        <v/>
      </c>
      <c r="L191" s="65"/>
      <c r="M191" s="65" t="str">
        <f>IFERROR(VLOOKUP($A191,PRIORIDAD_UNO[[Nombre del requerimiento]:[Fin Producción]],21,FALSE),"")</f>
        <v/>
      </c>
      <c r="N191" s="65"/>
    </row>
    <row r="192" spans="1:14">
      <c r="A192" s="70"/>
      <c r="B192" s="64" t="str">
        <f>IFERROR(
VLOOKUP(A192,PRIORIDAD_UNO[[Nombre del requerimiento]:[Tamaño]],5,FALSE),"")</f>
        <v/>
      </c>
      <c r="C192" s="65"/>
      <c r="D192" s="66" t="str">
        <f>IF(ISBLANK(A192),"",
IFERROR(IF(VLOOKUP($A192,PRIORIDAD_UNO[[Nombre del requerimiento]:[Fin Producción]],6,FALSE)=0,"",VLOOKUP($A192,PRIORIDAD_UNO[[Nombre del requerimiento]:[Fin Producción]],6,FALSE)),"No está en hoja Prioridad 1"))</f>
        <v/>
      </c>
      <c r="E192" s="65" t="str">
        <f>IFERROR(IF(VLOOKUP($A192,PRIORIDAD_UNO[[Nombre del requerimiento]:[Fin Producción]],17,FALSE)=0,"",VLOOKUP($A192,PRIORIDAD_UNO[[Nombre del requerimiento]:[Fin Producción]],17,FALSE)),"")</f>
        <v/>
      </c>
      <c r="F192" s="65"/>
      <c r="G192" s="65" t="str">
        <f>IFERROR(VLOOKUP($A192,PRIORIDAD_UNO[[Nombre del requerimiento]:[Fin Producción]],18,FALSE),"")</f>
        <v/>
      </c>
      <c r="H192" s="65"/>
      <c r="I192" s="65" t="str">
        <f>IFERROR(VLOOKUP($A192,PRIORIDAD_UNO[[Nombre del requerimiento]:[Fin Producción]],19,FALSE),"")</f>
        <v/>
      </c>
      <c r="J192" s="65"/>
      <c r="K192" s="65" t="str">
        <f>IFERROR(VLOOKUP($A192,PRIORIDAD_UNO[[Nombre del requerimiento]:[Fin Producción]],20,FALSE),"")</f>
        <v/>
      </c>
      <c r="L192" s="65"/>
      <c r="M192" s="65" t="str">
        <f>IFERROR(VLOOKUP($A192,PRIORIDAD_UNO[[Nombre del requerimiento]:[Fin Producción]],21,FALSE),"")</f>
        <v/>
      </c>
      <c r="N192" s="65"/>
    </row>
    <row r="193" spans="1:14">
      <c r="A193" s="70"/>
      <c r="B193" s="64" t="str">
        <f>IFERROR(
VLOOKUP(A193,PRIORIDAD_UNO[[Nombre del requerimiento]:[Tamaño]],5,FALSE),"")</f>
        <v/>
      </c>
      <c r="C193" s="65"/>
      <c r="D193" s="66" t="str">
        <f>IF(ISBLANK(A193),"",
IFERROR(IF(VLOOKUP($A193,PRIORIDAD_UNO[[Nombre del requerimiento]:[Fin Producción]],6,FALSE)=0,"",VLOOKUP($A193,PRIORIDAD_UNO[[Nombre del requerimiento]:[Fin Producción]],6,FALSE)),"No está en hoja Prioridad 1"))</f>
        <v/>
      </c>
      <c r="E193" s="65" t="str">
        <f>IFERROR(IF(VLOOKUP($A193,PRIORIDAD_UNO[[Nombre del requerimiento]:[Fin Producción]],17,FALSE)=0,"",VLOOKUP($A193,PRIORIDAD_UNO[[Nombre del requerimiento]:[Fin Producción]],17,FALSE)),"")</f>
        <v/>
      </c>
      <c r="F193" s="65"/>
      <c r="G193" s="65" t="str">
        <f>IFERROR(VLOOKUP($A193,PRIORIDAD_UNO[[Nombre del requerimiento]:[Fin Producción]],18,FALSE),"")</f>
        <v/>
      </c>
      <c r="H193" s="65"/>
      <c r="I193" s="65" t="str">
        <f>IFERROR(VLOOKUP($A193,PRIORIDAD_UNO[[Nombre del requerimiento]:[Fin Producción]],19,FALSE),"")</f>
        <v/>
      </c>
      <c r="J193" s="65"/>
      <c r="K193" s="65" t="str">
        <f>IFERROR(VLOOKUP($A193,PRIORIDAD_UNO[[Nombre del requerimiento]:[Fin Producción]],20,FALSE),"")</f>
        <v/>
      </c>
      <c r="L193" s="65"/>
      <c r="M193" s="65" t="str">
        <f>IFERROR(VLOOKUP($A193,PRIORIDAD_UNO[[Nombre del requerimiento]:[Fin Producción]],21,FALSE),"")</f>
        <v/>
      </c>
      <c r="N193" s="65"/>
    </row>
    <row r="194" spans="1:14">
      <c r="A194" s="70"/>
      <c r="B194" s="64" t="str">
        <f>IFERROR(
VLOOKUP(A194,PRIORIDAD_UNO[[Nombre del requerimiento]:[Tamaño]],5,FALSE),"")</f>
        <v/>
      </c>
      <c r="C194" s="65"/>
      <c r="D194" s="66" t="str">
        <f>IF(ISBLANK(A194),"",
IFERROR(IF(VLOOKUP($A194,PRIORIDAD_UNO[[Nombre del requerimiento]:[Fin Producción]],6,FALSE)=0,"",VLOOKUP($A194,PRIORIDAD_UNO[[Nombre del requerimiento]:[Fin Producción]],6,FALSE)),"No está en hoja Prioridad 1"))</f>
        <v/>
      </c>
      <c r="E194" s="65" t="str">
        <f>IFERROR(IF(VLOOKUP($A194,PRIORIDAD_UNO[[Nombre del requerimiento]:[Fin Producción]],17,FALSE)=0,"",VLOOKUP($A194,PRIORIDAD_UNO[[Nombre del requerimiento]:[Fin Producción]],17,FALSE)),"")</f>
        <v/>
      </c>
      <c r="F194" s="65"/>
      <c r="G194" s="65" t="str">
        <f>IFERROR(VLOOKUP($A194,PRIORIDAD_UNO[[Nombre del requerimiento]:[Fin Producción]],18,FALSE),"")</f>
        <v/>
      </c>
      <c r="H194" s="65"/>
      <c r="I194" s="65" t="str">
        <f>IFERROR(VLOOKUP($A194,PRIORIDAD_UNO[[Nombre del requerimiento]:[Fin Producción]],19,FALSE),"")</f>
        <v/>
      </c>
      <c r="J194" s="65"/>
      <c r="K194" s="65" t="str">
        <f>IFERROR(VLOOKUP($A194,PRIORIDAD_UNO[[Nombre del requerimiento]:[Fin Producción]],20,FALSE),"")</f>
        <v/>
      </c>
      <c r="L194" s="65"/>
      <c r="M194" s="65" t="str">
        <f>IFERROR(VLOOKUP($A194,PRIORIDAD_UNO[[Nombre del requerimiento]:[Fin Producción]],21,FALSE),"")</f>
        <v/>
      </c>
      <c r="N194" s="65"/>
    </row>
    <row r="195" spans="1:14">
      <c r="A195" s="70"/>
      <c r="B195" s="64" t="str">
        <f>IFERROR(
VLOOKUP(A195,PRIORIDAD_UNO[[Nombre del requerimiento]:[Tamaño]],5,FALSE),"")</f>
        <v/>
      </c>
      <c r="C195" s="65"/>
      <c r="D195" s="66" t="str">
        <f>IF(ISBLANK(A195),"",
IFERROR(IF(VLOOKUP($A195,PRIORIDAD_UNO[[Nombre del requerimiento]:[Fin Producción]],6,FALSE)=0,"",VLOOKUP($A195,PRIORIDAD_UNO[[Nombre del requerimiento]:[Fin Producción]],6,FALSE)),"No está en hoja Prioridad 1"))</f>
        <v/>
      </c>
      <c r="E195" s="65" t="str">
        <f>IFERROR(IF(VLOOKUP($A195,PRIORIDAD_UNO[[Nombre del requerimiento]:[Fin Producción]],17,FALSE)=0,"",VLOOKUP($A195,PRIORIDAD_UNO[[Nombre del requerimiento]:[Fin Producción]],17,FALSE)),"")</f>
        <v/>
      </c>
      <c r="F195" s="65"/>
      <c r="G195" s="65" t="str">
        <f>IFERROR(VLOOKUP($A195,PRIORIDAD_UNO[[Nombre del requerimiento]:[Fin Producción]],18,FALSE),"")</f>
        <v/>
      </c>
      <c r="H195" s="65"/>
      <c r="I195" s="65" t="str">
        <f>IFERROR(VLOOKUP($A195,PRIORIDAD_UNO[[Nombre del requerimiento]:[Fin Producción]],19,FALSE),"")</f>
        <v/>
      </c>
      <c r="J195" s="65"/>
      <c r="K195" s="65" t="str">
        <f>IFERROR(VLOOKUP($A195,PRIORIDAD_UNO[[Nombre del requerimiento]:[Fin Producción]],20,FALSE),"")</f>
        <v/>
      </c>
      <c r="L195" s="65"/>
      <c r="M195" s="65" t="str">
        <f>IFERROR(VLOOKUP($A195,PRIORIDAD_UNO[[Nombre del requerimiento]:[Fin Producción]],21,FALSE),"")</f>
        <v/>
      </c>
      <c r="N195" s="65"/>
    </row>
    <row r="196" spans="1:14">
      <c r="A196" s="70"/>
      <c r="B196" s="64" t="str">
        <f>IFERROR(
VLOOKUP(A196,PRIORIDAD_UNO[[Nombre del requerimiento]:[Tamaño]],5,FALSE),"")</f>
        <v/>
      </c>
      <c r="C196" s="65"/>
      <c r="D196" s="66" t="str">
        <f>IF(ISBLANK(A196),"",
IFERROR(IF(VLOOKUP($A196,PRIORIDAD_UNO[[Nombre del requerimiento]:[Fin Producción]],6,FALSE)=0,"",VLOOKUP($A196,PRIORIDAD_UNO[[Nombre del requerimiento]:[Fin Producción]],6,FALSE)),"No está en hoja Prioridad 1"))</f>
        <v/>
      </c>
      <c r="E196" s="65" t="str">
        <f>IFERROR(IF(VLOOKUP($A196,PRIORIDAD_UNO[[Nombre del requerimiento]:[Fin Producción]],17,FALSE)=0,"",VLOOKUP($A196,PRIORIDAD_UNO[[Nombre del requerimiento]:[Fin Producción]],17,FALSE)),"")</f>
        <v/>
      </c>
      <c r="F196" s="65"/>
      <c r="G196" s="65" t="str">
        <f>IFERROR(VLOOKUP($A196,PRIORIDAD_UNO[[Nombre del requerimiento]:[Fin Producción]],18,FALSE),"")</f>
        <v/>
      </c>
      <c r="H196" s="65"/>
      <c r="I196" s="65" t="str">
        <f>IFERROR(VLOOKUP($A196,PRIORIDAD_UNO[[Nombre del requerimiento]:[Fin Producción]],19,FALSE),"")</f>
        <v/>
      </c>
      <c r="J196" s="65"/>
      <c r="K196" s="65" t="str">
        <f>IFERROR(VLOOKUP($A196,PRIORIDAD_UNO[[Nombre del requerimiento]:[Fin Producción]],20,FALSE),"")</f>
        <v/>
      </c>
      <c r="L196" s="65"/>
      <c r="M196" s="65" t="str">
        <f>IFERROR(VLOOKUP($A196,PRIORIDAD_UNO[[Nombre del requerimiento]:[Fin Producción]],21,FALSE),"")</f>
        <v/>
      </c>
      <c r="N196" s="65"/>
    </row>
    <row r="197" spans="1:14">
      <c r="A197" s="70"/>
      <c r="B197" s="64" t="str">
        <f>IFERROR(
VLOOKUP(A197,PRIORIDAD_UNO[[Nombre del requerimiento]:[Tamaño]],5,FALSE),"")</f>
        <v/>
      </c>
      <c r="C197" s="65"/>
      <c r="D197" s="66" t="str">
        <f>IF(ISBLANK(A197),"",
IFERROR(IF(VLOOKUP($A197,PRIORIDAD_UNO[[Nombre del requerimiento]:[Fin Producción]],6,FALSE)=0,"",VLOOKUP($A197,PRIORIDAD_UNO[[Nombre del requerimiento]:[Fin Producción]],6,FALSE)),"No está en hoja Prioridad 1"))</f>
        <v/>
      </c>
      <c r="E197" s="65" t="str">
        <f>IFERROR(IF(VLOOKUP($A197,PRIORIDAD_UNO[[Nombre del requerimiento]:[Fin Producción]],17,FALSE)=0,"",VLOOKUP($A197,PRIORIDAD_UNO[[Nombre del requerimiento]:[Fin Producción]],17,FALSE)),"")</f>
        <v/>
      </c>
      <c r="F197" s="65"/>
      <c r="G197" s="65" t="str">
        <f>IFERROR(VLOOKUP($A197,PRIORIDAD_UNO[[Nombre del requerimiento]:[Fin Producción]],18,FALSE),"")</f>
        <v/>
      </c>
      <c r="H197" s="65"/>
      <c r="I197" s="65" t="str">
        <f>IFERROR(VLOOKUP($A197,PRIORIDAD_UNO[[Nombre del requerimiento]:[Fin Producción]],19,FALSE),"")</f>
        <v/>
      </c>
      <c r="J197" s="65"/>
      <c r="K197" s="65" t="str">
        <f>IFERROR(VLOOKUP($A197,PRIORIDAD_UNO[[Nombre del requerimiento]:[Fin Producción]],20,FALSE),"")</f>
        <v/>
      </c>
      <c r="L197" s="65"/>
      <c r="M197" s="65" t="str">
        <f>IFERROR(VLOOKUP($A197,PRIORIDAD_UNO[[Nombre del requerimiento]:[Fin Producción]],21,FALSE),"")</f>
        <v/>
      </c>
      <c r="N197" s="65"/>
    </row>
    <row r="198" spans="1:14">
      <c r="A198" s="70"/>
      <c r="B198" s="64" t="str">
        <f>IFERROR(
VLOOKUP(A198,PRIORIDAD_UNO[[Nombre del requerimiento]:[Tamaño]],5,FALSE),"")</f>
        <v/>
      </c>
      <c r="C198" s="65"/>
      <c r="D198" s="66" t="str">
        <f>IF(ISBLANK(A198),"",
IFERROR(IF(VLOOKUP($A198,PRIORIDAD_UNO[[Nombre del requerimiento]:[Fin Producción]],6,FALSE)=0,"",VLOOKUP($A198,PRIORIDAD_UNO[[Nombre del requerimiento]:[Fin Producción]],6,FALSE)),"No está en hoja Prioridad 1"))</f>
        <v/>
      </c>
      <c r="E198" s="65" t="str">
        <f>IFERROR(IF(VLOOKUP($A198,PRIORIDAD_UNO[[Nombre del requerimiento]:[Fin Producción]],17,FALSE)=0,"",VLOOKUP($A198,PRIORIDAD_UNO[[Nombre del requerimiento]:[Fin Producción]],17,FALSE)),"")</f>
        <v/>
      </c>
      <c r="F198" s="65"/>
      <c r="G198" s="65" t="str">
        <f>IFERROR(VLOOKUP($A198,PRIORIDAD_UNO[[Nombre del requerimiento]:[Fin Producción]],18,FALSE),"")</f>
        <v/>
      </c>
      <c r="H198" s="65"/>
      <c r="I198" s="65" t="str">
        <f>IFERROR(VLOOKUP($A198,PRIORIDAD_UNO[[Nombre del requerimiento]:[Fin Producción]],19,FALSE),"")</f>
        <v/>
      </c>
      <c r="J198" s="65"/>
      <c r="K198" s="65" t="str">
        <f>IFERROR(VLOOKUP($A198,PRIORIDAD_UNO[[Nombre del requerimiento]:[Fin Producción]],20,FALSE),"")</f>
        <v/>
      </c>
      <c r="L198" s="65"/>
      <c r="M198" s="65" t="str">
        <f>IFERROR(VLOOKUP($A198,PRIORIDAD_UNO[[Nombre del requerimiento]:[Fin Producción]],21,FALSE),"")</f>
        <v/>
      </c>
      <c r="N198" s="65"/>
    </row>
    <row r="199" spans="1:14">
      <c r="A199" s="70"/>
      <c r="B199" s="64" t="str">
        <f>IFERROR(
VLOOKUP(A199,PRIORIDAD_UNO[[Nombre del requerimiento]:[Tamaño]],5,FALSE),"")</f>
        <v/>
      </c>
      <c r="C199" s="65"/>
      <c r="D199" s="66" t="str">
        <f>IF(ISBLANK(A199),"",
IFERROR(IF(VLOOKUP($A199,PRIORIDAD_UNO[[Nombre del requerimiento]:[Fin Producción]],6,FALSE)=0,"",VLOOKUP($A199,PRIORIDAD_UNO[[Nombre del requerimiento]:[Fin Producción]],6,FALSE)),"No está en hoja Prioridad 1"))</f>
        <v/>
      </c>
      <c r="E199" s="65" t="str">
        <f>IFERROR(IF(VLOOKUP($A199,PRIORIDAD_UNO[[Nombre del requerimiento]:[Fin Producción]],17,FALSE)=0,"",VLOOKUP($A199,PRIORIDAD_UNO[[Nombre del requerimiento]:[Fin Producción]],17,FALSE)),"")</f>
        <v/>
      </c>
      <c r="F199" s="65"/>
      <c r="G199" s="65" t="str">
        <f>IFERROR(VLOOKUP($A199,PRIORIDAD_UNO[[Nombre del requerimiento]:[Fin Producción]],18,FALSE),"")</f>
        <v/>
      </c>
      <c r="H199" s="65"/>
      <c r="I199" s="65" t="str">
        <f>IFERROR(VLOOKUP($A199,PRIORIDAD_UNO[[Nombre del requerimiento]:[Fin Producción]],19,FALSE),"")</f>
        <v/>
      </c>
      <c r="J199" s="65"/>
      <c r="K199" s="65" t="str">
        <f>IFERROR(VLOOKUP($A199,PRIORIDAD_UNO[[Nombre del requerimiento]:[Fin Producción]],20,FALSE),"")</f>
        <v/>
      </c>
      <c r="L199" s="65"/>
      <c r="M199" s="65" t="str">
        <f>IFERROR(VLOOKUP($A199,PRIORIDAD_UNO[[Nombre del requerimiento]:[Fin Producción]],21,FALSE),"")</f>
        <v/>
      </c>
      <c r="N199" s="65"/>
    </row>
    <row r="200" spans="1:14">
      <c r="A200" s="70"/>
      <c r="B200" s="64" t="str">
        <f>IFERROR(
VLOOKUP(A200,PRIORIDAD_UNO[[Nombre del requerimiento]:[Tamaño]],5,FALSE),"")</f>
        <v/>
      </c>
      <c r="C200" s="65"/>
      <c r="D200" s="66" t="str">
        <f>IF(ISBLANK(A200),"",
IFERROR(IF(VLOOKUP($A200,PRIORIDAD_UNO[[Nombre del requerimiento]:[Fin Producción]],6,FALSE)=0,"",VLOOKUP($A200,PRIORIDAD_UNO[[Nombre del requerimiento]:[Fin Producción]],6,FALSE)),"No está en hoja Prioridad 1"))</f>
        <v/>
      </c>
      <c r="E200" s="65" t="str">
        <f>IFERROR(IF(VLOOKUP($A200,PRIORIDAD_UNO[[Nombre del requerimiento]:[Fin Producción]],17,FALSE)=0,"",VLOOKUP($A200,PRIORIDAD_UNO[[Nombre del requerimiento]:[Fin Producción]],17,FALSE)),"")</f>
        <v/>
      </c>
      <c r="F200" s="65"/>
      <c r="G200" s="65" t="str">
        <f>IFERROR(VLOOKUP($A200,PRIORIDAD_UNO[[Nombre del requerimiento]:[Fin Producción]],18,FALSE),"")</f>
        <v/>
      </c>
      <c r="H200" s="65"/>
      <c r="I200" s="65" t="str">
        <f>IFERROR(VLOOKUP($A200,PRIORIDAD_UNO[[Nombre del requerimiento]:[Fin Producción]],19,FALSE),"")</f>
        <v/>
      </c>
      <c r="J200" s="65"/>
      <c r="K200" s="65" t="str">
        <f>IFERROR(VLOOKUP($A200,PRIORIDAD_UNO[[Nombre del requerimiento]:[Fin Producción]],20,FALSE),"")</f>
        <v/>
      </c>
      <c r="L200" s="65"/>
      <c r="M200" s="65" t="str">
        <f>IFERROR(VLOOKUP($A200,PRIORIDAD_UNO[[Nombre del requerimiento]:[Fin Producción]],21,FALSE),"")</f>
        <v/>
      </c>
      <c r="N200" s="65"/>
    </row>
    <row r="201" spans="1:14">
      <c r="A201" s="70"/>
      <c r="B201" s="64" t="str">
        <f>IFERROR(
VLOOKUP(A201,PRIORIDAD_UNO[[Nombre del requerimiento]:[Tamaño]],5,FALSE),"")</f>
        <v/>
      </c>
      <c r="C201" s="65"/>
      <c r="D201" s="66" t="str">
        <f>IF(ISBLANK(A201),"",
IFERROR(IF(VLOOKUP($A201,PRIORIDAD_UNO[[Nombre del requerimiento]:[Fin Producción]],6,FALSE)=0,"",VLOOKUP($A201,PRIORIDAD_UNO[[Nombre del requerimiento]:[Fin Producción]],6,FALSE)),"No está en hoja Prioridad 1"))</f>
        <v/>
      </c>
      <c r="E201" s="65" t="str">
        <f>IFERROR(IF(VLOOKUP($A201,PRIORIDAD_UNO[[Nombre del requerimiento]:[Fin Producción]],17,FALSE)=0,"",VLOOKUP($A201,PRIORIDAD_UNO[[Nombre del requerimiento]:[Fin Producción]],17,FALSE)),"")</f>
        <v/>
      </c>
      <c r="F201" s="65"/>
      <c r="G201" s="65" t="str">
        <f>IFERROR(VLOOKUP($A201,PRIORIDAD_UNO[[Nombre del requerimiento]:[Fin Producción]],18,FALSE),"")</f>
        <v/>
      </c>
      <c r="H201" s="65"/>
      <c r="I201" s="65" t="str">
        <f>IFERROR(VLOOKUP($A201,PRIORIDAD_UNO[[Nombre del requerimiento]:[Fin Producción]],19,FALSE),"")</f>
        <v/>
      </c>
      <c r="J201" s="65"/>
      <c r="K201" s="65" t="str">
        <f>IFERROR(VLOOKUP($A201,PRIORIDAD_UNO[[Nombre del requerimiento]:[Fin Producción]],20,FALSE),"")</f>
        <v/>
      </c>
      <c r="L201" s="65"/>
      <c r="M201" s="65" t="str">
        <f>IFERROR(VLOOKUP($A201,PRIORIDAD_UNO[[Nombre del requerimiento]:[Fin Producción]],21,FALSE),"")</f>
        <v/>
      </c>
      <c r="N201" s="65"/>
    </row>
    <row r="202" spans="1:14">
      <c r="A202" s="70"/>
      <c r="B202" s="64" t="str">
        <f>IFERROR(
VLOOKUP(A202,PRIORIDAD_UNO[[Nombre del requerimiento]:[Tamaño]],5,FALSE),"")</f>
        <v/>
      </c>
      <c r="C202" s="65"/>
      <c r="D202" s="66" t="str">
        <f>IF(ISBLANK(A202),"",
IFERROR(IF(VLOOKUP($A202,PRIORIDAD_UNO[[Nombre del requerimiento]:[Fin Producción]],6,FALSE)=0,"",VLOOKUP($A202,PRIORIDAD_UNO[[Nombre del requerimiento]:[Fin Producción]],6,FALSE)),"No está en hoja Prioridad 1"))</f>
        <v/>
      </c>
      <c r="E202" s="65" t="str">
        <f>IFERROR(IF(VLOOKUP($A202,PRIORIDAD_UNO[[Nombre del requerimiento]:[Fin Producción]],17,FALSE)=0,"",VLOOKUP($A202,PRIORIDAD_UNO[[Nombre del requerimiento]:[Fin Producción]],17,FALSE)),"")</f>
        <v/>
      </c>
      <c r="F202" s="65"/>
      <c r="G202" s="65" t="str">
        <f>IFERROR(VLOOKUP($A202,PRIORIDAD_UNO[[Nombre del requerimiento]:[Fin Producción]],18,FALSE),"")</f>
        <v/>
      </c>
      <c r="H202" s="65"/>
      <c r="I202" s="65" t="str">
        <f>IFERROR(VLOOKUP($A202,PRIORIDAD_UNO[[Nombre del requerimiento]:[Fin Producción]],19,FALSE),"")</f>
        <v/>
      </c>
      <c r="J202" s="65"/>
      <c r="K202" s="65" t="str">
        <f>IFERROR(VLOOKUP($A202,PRIORIDAD_UNO[[Nombre del requerimiento]:[Fin Producción]],20,FALSE),"")</f>
        <v/>
      </c>
      <c r="L202" s="65"/>
      <c r="M202" s="65" t="str">
        <f>IFERROR(VLOOKUP($A202,PRIORIDAD_UNO[[Nombre del requerimiento]:[Fin Producción]],21,FALSE),"")</f>
        <v/>
      </c>
      <c r="N202" s="65"/>
    </row>
    <row r="203" spans="1:14">
      <c r="A203" s="70"/>
      <c r="B203" s="64" t="str">
        <f>IFERROR(
VLOOKUP(A203,PRIORIDAD_UNO[[Nombre del requerimiento]:[Tamaño]],5,FALSE),"")</f>
        <v/>
      </c>
      <c r="C203" s="65"/>
      <c r="D203" s="66" t="str">
        <f>IF(ISBLANK(A203),"",
IFERROR(IF(VLOOKUP($A203,PRIORIDAD_UNO[[Nombre del requerimiento]:[Fin Producción]],6,FALSE)=0,"",VLOOKUP($A203,PRIORIDAD_UNO[[Nombre del requerimiento]:[Fin Producción]],6,FALSE)),"No está en hoja Prioridad 1"))</f>
        <v/>
      </c>
      <c r="E203" s="65" t="str">
        <f>IFERROR(IF(VLOOKUP($A203,PRIORIDAD_UNO[[Nombre del requerimiento]:[Fin Producción]],17,FALSE)=0,"",VLOOKUP($A203,PRIORIDAD_UNO[[Nombre del requerimiento]:[Fin Producción]],17,FALSE)),"")</f>
        <v/>
      </c>
      <c r="F203" s="65"/>
      <c r="G203" s="65" t="str">
        <f>IFERROR(VLOOKUP($A203,PRIORIDAD_UNO[[Nombre del requerimiento]:[Fin Producción]],18,FALSE),"")</f>
        <v/>
      </c>
      <c r="H203" s="65"/>
      <c r="I203" s="65" t="str">
        <f>IFERROR(VLOOKUP($A203,PRIORIDAD_UNO[[Nombre del requerimiento]:[Fin Producción]],19,FALSE),"")</f>
        <v/>
      </c>
      <c r="J203" s="65"/>
      <c r="K203" s="65" t="str">
        <f>IFERROR(VLOOKUP($A203,PRIORIDAD_UNO[[Nombre del requerimiento]:[Fin Producción]],20,FALSE),"")</f>
        <v/>
      </c>
      <c r="L203" s="65"/>
      <c r="M203" s="65" t="str">
        <f>IFERROR(VLOOKUP($A203,PRIORIDAD_UNO[[Nombre del requerimiento]:[Fin Producción]],21,FALSE),"")</f>
        <v/>
      </c>
      <c r="N203" s="65"/>
    </row>
    <row r="204" spans="1:14">
      <c r="A204" s="70"/>
      <c r="B204" s="64" t="str">
        <f>IFERROR(
VLOOKUP(A204,PRIORIDAD_UNO[[Nombre del requerimiento]:[Tamaño]],5,FALSE),"")</f>
        <v/>
      </c>
      <c r="C204" s="65"/>
      <c r="D204" s="66" t="str">
        <f>IF(ISBLANK(A204),"",
IFERROR(IF(VLOOKUP($A204,PRIORIDAD_UNO[[Nombre del requerimiento]:[Fin Producción]],6,FALSE)=0,"",VLOOKUP($A204,PRIORIDAD_UNO[[Nombre del requerimiento]:[Fin Producción]],6,FALSE)),"No está en hoja Prioridad 1"))</f>
        <v/>
      </c>
      <c r="E204" s="65" t="str">
        <f>IFERROR(IF(VLOOKUP($A204,PRIORIDAD_UNO[[Nombre del requerimiento]:[Fin Producción]],17,FALSE)=0,"",VLOOKUP($A204,PRIORIDAD_UNO[[Nombre del requerimiento]:[Fin Producción]],17,FALSE)),"")</f>
        <v/>
      </c>
      <c r="F204" s="65"/>
      <c r="G204" s="65" t="str">
        <f>IFERROR(VLOOKUP($A204,PRIORIDAD_UNO[[Nombre del requerimiento]:[Fin Producción]],18,FALSE),"")</f>
        <v/>
      </c>
      <c r="H204" s="65"/>
      <c r="I204" s="65" t="str">
        <f>IFERROR(VLOOKUP($A204,PRIORIDAD_UNO[[Nombre del requerimiento]:[Fin Producción]],19,FALSE),"")</f>
        <v/>
      </c>
      <c r="J204" s="65"/>
      <c r="K204" s="65" t="str">
        <f>IFERROR(VLOOKUP($A204,PRIORIDAD_UNO[[Nombre del requerimiento]:[Fin Producción]],20,FALSE),"")</f>
        <v/>
      </c>
      <c r="L204" s="65"/>
      <c r="M204" s="65" t="str">
        <f>IFERROR(VLOOKUP($A204,PRIORIDAD_UNO[[Nombre del requerimiento]:[Fin Producción]],21,FALSE),"")</f>
        <v/>
      </c>
      <c r="N204" s="65"/>
    </row>
    <row r="205" spans="1:14">
      <c r="A205" s="70"/>
      <c r="B205" s="64" t="str">
        <f>IFERROR(
VLOOKUP(A205,PRIORIDAD_UNO[[Nombre del requerimiento]:[Tamaño]],5,FALSE),"")</f>
        <v/>
      </c>
      <c r="C205" s="65"/>
      <c r="D205" s="66" t="str">
        <f>IF(ISBLANK(A205),"",
IFERROR(IF(VLOOKUP($A205,PRIORIDAD_UNO[[Nombre del requerimiento]:[Fin Producción]],6,FALSE)=0,"",VLOOKUP($A205,PRIORIDAD_UNO[[Nombre del requerimiento]:[Fin Producción]],6,FALSE)),"No está en hoja Prioridad 1"))</f>
        <v/>
      </c>
      <c r="E205" s="65" t="str">
        <f>IFERROR(IF(VLOOKUP($A205,PRIORIDAD_UNO[[Nombre del requerimiento]:[Fin Producción]],17,FALSE)=0,"",VLOOKUP($A205,PRIORIDAD_UNO[[Nombre del requerimiento]:[Fin Producción]],17,FALSE)),"")</f>
        <v/>
      </c>
      <c r="F205" s="65"/>
      <c r="G205" s="65" t="str">
        <f>IFERROR(VLOOKUP($A205,PRIORIDAD_UNO[[Nombre del requerimiento]:[Fin Producción]],18,FALSE),"")</f>
        <v/>
      </c>
      <c r="H205" s="65"/>
      <c r="I205" s="65" t="str">
        <f>IFERROR(VLOOKUP($A205,PRIORIDAD_UNO[[Nombre del requerimiento]:[Fin Producción]],19,FALSE),"")</f>
        <v/>
      </c>
      <c r="J205" s="65"/>
      <c r="K205" s="65" t="str">
        <f>IFERROR(VLOOKUP($A205,PRIORIDAD_UNO[[Nombre del requerimiento]:[Fin Producción]],20,FALSE),"")</f>
        <v/>
      </c>
      <c r="L205" s="65"/>
      <c r="M205" s="65" t="str">
        <f>IFERROR(VLOOKUP($A205,PRIORIDAD_UNO[[Nombre del requerimiento]:[Fin Producción]],21,FALSE),"")</f>
        <v/>
      </c>
      <c r="N205" s="65"/>
    </row>
    <row r="206" spans="1:14">
      <c r="A206" s="70"/>
      <c r="B206" s="64" t="str">
        <f>IFERROR(
VLOOKUP(A206,PRIORIDAD_UNO[[Nombre del requerimiento]:[Tamaño]],5,FALSE),"")</f>
        <v/>
      </c>
      <c r="C206" s="65"/>
      <c r="D206" s="66" t="str">
        <f>IF(ISBLANK(A206),"",
IFERROR(IF(VLOOKUP($A206,PRIORIDAD_UNO[[Nombre del requerimiento]:[Fin Producción]],6,FALSE)=0,"",VLOOKUP($A206,PRIORIDAD_UNO[[Nombre del requerimiento]:[Fin Producción]],6,FALSE)),"No está en hoja Prioridad 1"))</f>
        <v/>
      </c>
      <c r="E206" s="65" t="str">
        <f>IFERROR(IF(VLOOKUP($A206,PRIORIDAD_UNO[[Nombre del requerimiento]:[Fin Producción]],17,FALSE)=0,"",VLOOKUP($A206,PRIORIDAD_UNO[[Nombre del requerimiento]:[Fin Producción]],17,FALSE)),"")</f>
        <v/>
      </c>
      <c r="F206" s="65"/>
      <c r="G206" s="65" t="str">
        <f>IFERROR(VLOOKUP($A206,PRIORIDAD_UNO[[Nombre del requerimiento]:[Fin Producción]],18,FALSE),"")</f>
        <v/>
      </c>
      <c r="H206" s="65"/>
      <c r="I206" s="65" t="str">
        <f>IFERROR(VLOOKUP($A206,PRIORIDAD_UNO[[Nombre del requerimiento]:[Fin Producción]],19,FALSE),"")</f>
        <v/>
      </c>
      <c r="J206" s="65"/>
      <c r="K206" s="65" t="str">
        <f>IFERROR(VLOOKUP($A206,PRIORIDAD_UNO[[Nombre del requerimiento]:[Fin Producción]],20,FALSE),"")</f>
        <v/>
      </c>
      <c r="L206" s="65"/>
      <c r="M206" s="65" t="str">
        <f>IFERROR(VLOOKUP($A206,PRIORIDAD_UNO[[Nombre del requerimiento]:[Fin Producción]],21,FALSE),"")</f>
        <v/>
      </c>
      <c r="N206" s="65"/>
    </row>
    <row r="207" spans="1:14">
      <c r="A207" s="70"/>
      <c r="B207" s="64" t="str">
        <f>IFERROR(
VLOOKUP(A207,PRIORIDAD_UNO[[Nombre del requerimiento]:[Tamaño]],5,FALSE),"")</f>
        <v/>
      </c>
      <c r="C207" s="65"/>
      <c r="D207" s="66" t="str">
        <f>IF(ISBLANK(A207),"",
IFERROR(IF(VLOOKUP($A207,PRIORIDAD_UNO[[Nombre del requerimiento]:[Fin Producción]],6,FALSE)=0,"",VLOOKUP($A207,PRIORIDAD_UNO[[Nombre del requerimiento]:[Fin Producción]],6,FALSE)),"No está en hoja Prioridad 1"))</f>
        <v/>
      </c>
      <c r="E207" s="65" t="str">
        <f>IFERROR(IF(VLOOKUP($A207,PRIORIDAD_UNO[[Nombre del requerimiento]:[Fin Producción]],17,FALSE)=0,"",VLOOKUP($A207,PRIORIDAD_UNO[[Nombre del requerimiento]:[Fin Producción]],17,FALSE)),"")</f>
        <v/>
      </c>
      <c r="F207" s="65"/>
      <c r="G207" s="65" t="str">
        <f>IFERROR(VLOOKUP($A207,PRIORIDAD_UNO[[Nombre del requerimiento]:[Fin Producción]],18,FALSE),"")</f>
        <v/>
      </c>
      <c r="H207" s="65"/>
      <c r="I207" s="65" t="str">
        <f>IFERROR(VLOOKUP($A207,PRIORIDAD_UNO[[Nombre del requerimiento]:[Fin Producción]],19,FALSE),"")</f>
        <v/>
      </c>
      <c r="J207" s="65"/>
      <c r="K207" s="65" t="str">
        <f>IFERROR(VLOOKUP($A207,PRIORIDAD_UNO[[Nombre del requerimiento]:[Fin Producción]],20,FALSE),"")</f>
        <v/>
      </c>
      <c r="L207" s="65"/>
      <c r="M207" s="65" t="str">
        <f>IFERROR(VLOOKUP($A207,PRIORIDAD_UNO[[Nombre del requerimiento]:[Fin Producción]],21,FALSE),"")</f>
        <v/>
      </c>
      <c r="N207" s="65"/>
    </row>
    <row r="208" spans="1:14">
      <c r="A208" s="70"/>
      <c r="B208" s="64" t="str">
        <f>IFERROR(
VLOOKUP(A208,PRIORIDAD_UNO[[Nombre del requerimiento]:[Tamaño]],5,FALSE),"")</f>
        <v/>
      </c>
      <c r="C208" s="65"/>
      <c r="D208" s="66" t="str">
        <f>IF(ISBLANK(A208),"",
IFERROR(IF(VLOOKUP($A208,PRIORIDAD_UNO[[Nombre del requerimiento]:[Fin Producción]],6,FALSE)=0,"",VLOOKUP($A208,PRIORIDAD_UNO[[Nombre del requerimiento]:[Fin Producción]],6,FALSE)),"No está en hoja Prioridad 1"))</f>
        <v/>
      </c>
      <c r="E208" s="65" t="str">
        <f>IFERROR(IF(VLOOKUP($A208,PRIORIDAD_UNO[[Nombre del requerimiento]:[Fin Producción]],17,FALSE)=0,"",VLOOKUP($A208,PRIORIDAD_UNO[[Nombre del requerimiento]:[Fin Producción]],17,FALSE)),"")</f>
        <v/>
      </c>
      <c r="F208" s="65"/>
      <c r="G208" s="65" t="str">
        <f>IFERROR(VLOOKUP($A208,PRIORIDAD_UNO[[Nombre del requerimiento]:[Fin Producción]],18,FALSE),"")</f>
        <v/>
      </c>
      <c r="H208" s="65"/>
      <c r="I208" s="65" t="str">
        <f>IFERROR(VLOOKUP($A208,PRIORIDAD_UNO[[Nombre del requerimiento]:[Fin Producción]],19,FALSE),"")</f>
        <v/>
      </c>
      <c r="J208" s="65"/>
      <c r="K208" s="65" t="str">
        <f>IFERROR(VLOOKUP($A208,PRIORIDAD_UNO[[Nombre del requerimiento]:[Fin Producción]],20,FALSE),"")</f>
        <v/>
      </c>
      <c r="L208" s="65"/>
      <c r="M208" s="65" t="str">
        <f>IFERROR(VLOOKUP($A208,PRIORIDAD_UNO[[Nombre del requerimiento]:[Fin Producción]],21,FALSE),"")</f>
        <v/>
      </c>
      <c r="N208" s="65"/>
    </row>
    <row r="209" spans="1:14">
      <c r="A209" s="70"/>
      <c r="B209" s="64" t="str">
        <f>IFERROR(
VLOOKUP(A209,PRIORIDAD_UNO[[Nombre del requerimiento]:[Tamaño]],5,FALSE),"")</f>
        <v/>
      </c>
      <c r="C209" s="65"/>
      <c r="D209" s="66" t="str">
        <f>IF(ISBLANK(A209),"",
IFERROR(IF(VLOOKUP($A209,PRIORIDAD_UNO[[Nombre del requerimiento]:[Fin Producción]],6,FALSE)=0,"",VLOOKUP($A209,PRIORIDAD_UNO[[Nombre del requerimiento]:[Fin Producción]],6,FALSE)),"No está en hoja Prioridad 1"))</f>
        <v/>
      </c>
      <c r="E209" s="65" t="str">
        <f>IFERROR(IF(VLOOKUP($A209,PRIORIDAD_UNO[[Nombre del requerimiento]:[Fin Producción]],17,FALSE)=0,"",VLOOKUP($A209,PRIORIDAD_UNO[[Nombre del requerimiento]:[Fin Producción]],17,FALSE)),"")</f>
        <v/>
      </c>
      <c r="F209" s="65"/>
      <c r="G209" s="65" t="str">
        <f>IFERROR(VLOOKUP($A209,PRIORIDAD_UNO[[Nombre del requerimiento]:[Fin Producción]],18,FALSE),"")</f>
        <v/>
      </c>
      <c r="H209" s="65"/>
      <c r="I209" s="65" t="str">
        <f>IFERROR(VLOOKUP($A209,PRIORIDAD_UNO[[Nombre del requerimiento]:[Fin Producción]],19,FALSE),"")</f>
        <v/>
      </c>
      <c r="J209" s="65"/>
      <c r="K209" s="65" t="str">
        <f>IFERROR(VLOOKUP($A209,PRIORIDAD_UNO[[Nombre del requerimiento]:[Fin Producción]],20,FALSE),"")</f>
        <v/>
      </c>
      <c r="L209" s="65"/>
      <c r="M209" s="65" t="str">
        <f>IFERROR(VLOOKUP($A209,PRIORIDAD_UNO[[Nombre del requerimiento]:[Fin Producción]],21,FALSE),"")</f>
        <v/>
      </c>
      <c r="N209" s="65"/>
    </row>
    <row r="210" spans="1:14">
      <c r="A210" s="70"/>
      <c r="B210" s="64" t="str">
        <f>IFERROR(
VLOOKUP(A210,PRIORIDAD_UNO[[Nombre del requerimiento]:[Tamaño]],5,FALSE),"")</f>
        <v/>
      </c>
      <c r="C210" s="65"/>
      <c r="D210" s="66" t="str">
        <f>IF(ISBLANK(A210),"",
IFERROR(IF(VLOOKUP($A210,PRIORIDAD_UNO[[Nombre del requerimiento]:[Fin Producción]],6,FALSE)=0,"",VLOOKUP($A210,PRIORIDAD_UNO[[Nombre del requerimiento]:[Fin Producción]],6,FALSE)),"No está en hoja Prioridad 1"))</f>
        <v/>
      </c>
      <c r="E210" s="65" t="str">
        <f>IFERROR(IF(VLOOKUP($A210,PRIORIDAD_UNO[[Nombre del requerimiento]:[Fin Producción]],17,FALSE)=0,"",VLOOKUP($A210,PRIORIDAD_UNO[[Nombre del requerimiento]:[Fin Producción]],17,FALSE)),"")</f>
        <v/>
      </c>
      <c r="F210" s="65"/>
      <c r="G210" s="65" t="str">
        <f>IFERROR(VLOOKUP($A210,PRIORIDAD_UNO[[Nombre del requerimiento]:[Fin Producción]],18,FALSE),"")</f>
        <v/>
      </c>
      <c r="H210" s="65"/>
      <c r="I210" s="65" t="str">
        <f>IFERROR(VLOOKUP($A210,PRIORIDAD_UNO[[Nombre del requerimiento]:[Fin Producción]],19,FALSE),"")</f>
        <v/>
      </c>
      <c r="J210" s="65"/>
      <c r="K210" s="65" t="str">
        <f>IFERROR(VLOOKUP($A210,PRIORIDAD_UNO[[Nombre del requerimiento]:[Fin Producción]],20,FALSE),"")</f>
        <v/>
      </c>
      <c r="L210" s="65"/>
      <c r="M210" s="65" t="str">
        <f>IFERROR(VLOOKUP($A210,PRIORIDAD_UNO[[Nombre del requerimiento]:[Fin Producción]],21,FALSE),"")</f>
        <v/>
      </c>
      <c r="N210" s="65"/>
    </row>
    <row r="211" spans="1:14">
      <c r="A211" s="70"/>
      <c r="B211" s="64" t="str">
        <f>IFERROR(
VLOOKUP(A211,PRIORIDAD_UNO[[Nombre del requerimiento]:[Tamaño]],5,FALSE),"")</f>
        <v/>
      </c>
      <c r="C211" s="65"/>
      <c r="D211" s="66" t="str">
        <f>IF(ISBLANK(A211),"",
IFERROR(IF(VLOOKUP($A211,PRIORIDAD_UNO[[Nombre del requerimiento]:[Fin Producción]],6,FALSE)=0,"",VLOOKUP($A211,PRIORIDAD_UNO[[Nombre del requerimiento]:[Fin Producción]],6,FALSE)),"No está en hoja Prioridad 1"))</f>
        <v/>
      </c>
      <c r="E211" s="65" t="str">
        <f>IFERROR(IF(VLOOKUP($A211,PRIORIDAD_UNO[[Nombre del requerimiento]:[Fin Producción]],17,FALSE)=0,"",VLOOKUP($A211,PRIORIDAD_UNO[[Nombre del requerimiento]:[Fin Producción]],17,FALSE)),"")</f>
        <v/>
      </c>
      <c r="F211" s="65"/>
      <c r="G211" s="65" t="str">
        <f>IFERROR(VLOOKUP($A211,PRIORIDAD_UNO[[Nombre del requerimiento]:[Fin Producción]],18,FALSE),"")</f>
        <v/>
      </c>
      <c r="H211" s="65"/>
      <c r="I211" s="65" t="str">
        <f>IFERROR(VLOOKUP($A211,PRIORIDAD_UNO[[Nombre del requerimiento]:[Fin Producción]],19,FALSE),"")</f>
        <v/>
      </c>
      <c r="J211" s="65"/>
      <c r="K211" s="65" t="str">
        <f>IFERROR(VLOOKUP($A211,PRIORIDAD_UNO[[Nombre del requerimiento]:[Fin Producción]],20,FALSE),"")</f>
        <v/>
      </c>
      <c r="L211" s="65"/>
      <c r="M211" s="65" t="str">
        <f>IFERROR(VLOOKUP($A211,PRIORIDAD_UNO[[Nombre del requerimiento]:[Fin Producción]],21,FALSE),"")</f>
        <v/>
      </c>
      <c r="N211" s="65"/>
    </row>
    <row r="212" spans="1:14">
      <c r="A212" s="70"/>
      <c r="B212" s="64" t="str">
        <f>IFERROR(
VLOOKUP(A212,PRIORIDAD_UNO[[Nombre del requerimiento]:[Tamaño]],5,FALSE),"")</f>
        <v/>
      </c>
      <c r="C212" s="65"/>
      <c r="D212" s="66" t="str">
        <f>IF(ISBLANK(A212),"",
IFERROR(IF(VLOOKUP($A212,PRIORIDAD_UNO[[Nombre del requerimiento]:[Fin Producción]],6,FALSE)=0,"",VLOOKUP($A212,PRIORIDAD_UNO[[Nombre del requerimiento]:[Fin Producción]],6,FALSE)),"No está en hoja Prioridad 1"))</f>
        <v/>
      </c>
      <c r="E212" s="65" t="str">
        <f>IFERROR(IF(VLOOKUP($A212,PRIORIDAD_UNO[[Nombre del requerimiento]:[Fin Producción]],17,FALSE)=0,"",VLOOKUP($A212,PRIORIDAD_UNO[[Nombre del requerimiento]:[Fin Producción]],17,FALSE)),"")</f>
        <v/>
      </c>
      <c r="F212" s="65"/>
      <c r="G212" s="65" t="str">
        <f>IFERROR(VLOOKUP($A212,PRIORIDAD_UNO[[Nombre del requerimiento]:[Fin Producción]],18,FALSE),"")</f>
        <v/>
      </c>
      <c r="H212" s="65"/>
      <c r="I212" s="65" t="str">
        <f>IFERROR(VLOOKUP($A212,PRIORIDAD_UNO[[Nombre del requerimiento]:[Fin Producción]],19,FALSE),"")</f>
        <v/>
      </c>
      <c r="J212" s="65"/>
      <c r="K212" s="65" t="str">
        <f>IFERROR(VLOOKUP($A212,PRIORIDAD_UNO[[Nombre del requerimiento]:[Fin Producción]],20,FALSE),"")</f>
        <v/>
      </c>
      <c r="L212" s="65"/>
      <c r="M212" s="65" t="str">
        <f>IFERROR(VLOOKUP($A212,PRIORIDAD_UNO[[Nombre del requerimiento]:[Fin Producción]],21,FALSE),"")</f>
        <v/>
      </c>
      <c r="N212" s="65"/>
    </row>
    <row r="213" spans="1:14">
      <c r="A213" s="70"/>
      <c r="B213" s="64" t="str">
        <f>IFERROR(
VLOOKUP(A213,PRIORIDAD_UNO[[Nombre del requerimiento]:[Tamaño]],5,FALSE),"")</f>
        <v/>
      </c>
      <c r="C213" s="65"/>
      <c r="D213" s="66" t="str">
        <f>IF(ISBLANK(A213),"",
IFERROR(IF(VLOOKUP($A213,PRIORIDAD_UNO[[Nombre del requerimiento]:[Fin Producción]],6,FALSE)=0,"",VLOOKUP($A213,PRIORIDAD_UNO[[Nombre del requerimiento]:[Fin Producción]],6,FALSE)),"No está en hoja Prioridad 1"))</f>
        <v/>
      </c>
      <c r="E213" s="65" t="str">
        <f>IFERROR(IF(VLOOKUP($A213,PRIORIDAD_UNO[[Nombre del requerimiento]:[Fin Producción]],17,FALSE)=0,"",VLOOKUP($A213,PRIORIDAD_UNO[[Nombre del requerimiento]:[Fin Producción]],17,FALSE)),"")</f>
        <v/>
      </c>
      <c r="F213" s="65"/>
      <c r="G213" s="65" t="str">
        <f>IFERROR(VLOOKUP($A213,PRIORIDAD_UNO[[Nombre del requerimiento]:[Fin Producción]],18,FALSE),"")</f>
        <v/>
      </c>
      <c r="H213" s="65"/>
      <c r="I213" s="65" t="str">
        <f>IFERROR(VLOOKUP($A213,PRIORIDAD_UNO[[Nombre del requerimiento]:[Fin Producción]],19,FALSE),"")</f>
        <v/>
      </c>
      <c r="J213" s="65"/>
      <c r="K213" s="65" t="str">
        <f>IFERROR(VLOOKUP($A213,PRIORIDAD_UNO[[Nombre del requerimiento]:[Fin Producción]],20,FALSE),"")</f>
        <v/>
      </c>
      <c r="L213" s="65"/>
      <c r="M213" s="65" t="str">
        <f>IFERROR(VLOOKUP($A213,PRIORIDAD_UNO[[Nombre del requerimiento]:[Fin Producción]],21,FALSE),"")</f>
        <v/>
      </c>
      <c r="N213" s="65"/>
    </row>
    <row r="214" spans="1:14">
      <c r="A214" s="70"/>
      <c r="B214" s="64" t="str">
        <f>IFERROR(
VLOOKUP(A214,PRIORIDAD_UNO[[Nombre del requerimiento]:[Tamaño]],5,FALSE),"")</f>
        <v/>
      </c>
      <c r="C214" s="65"/>
      <c r="D214" s="66" t="str">
        <f>IF(ISBLANK(A214),"",
IFERROR(IF(VLOOKUP($A214,PRIORIDAD_UNO[[Nombre del requerimiento]:[Fin Producción]],6,FALSE)=0,"",VLOOKUP($A214,PRIORIDAD_UNO[[Nombre del requerimiento]:[Fin Producción]],6,FALSE)),"No está en hoja Prioridad 1"))</f>
        <v/>
      </c>
      <c r="E214" s="65" t="str">
        <f>IFERROR(IF(VLOOKUP($A214,PRIORIDAD_UNO[[Nombre del requerimiento]:[Fin Producción]],17,FALSE)=0,"",VLOOKUP($A214,PRIORIDAD_UNO[[Nombre del requerimiento]:[Fin Producción]],17,FALSE)),"")</f>
        <v/>
      </c>
      <c r="F214" s="65"/>
      <c r="G214" s="65" t="str">
        <f>IFERROR(VLOOKUP($A214,PRIORIDAD_UNO[[Nombre del requerimiento]:[Fin Producción]],18,FALSE),"")</f>
        <v/>
      </c>
      <c r="H214" s="65"/>
      <c r="I214" s="65" t="str">
        <f>IFERROR(VLOOKUP($A214,PRIORIDAD_UNO[[Nombre del requerimiento]:[Fin Producción]],19,FALSE),"")</f>
        <v/>
      </c>
      <c r="J214" s="65"/>
      <c r="K214" s="65" t="str">
        <f>IFERROR(VLOOKUP($A214,PRIORIDAD_UNO[[Nombre del requerimiento]:[Fin Producción]],20,FALSE),"")</f>
        <v/>
      </c>
      <c r="L214" s="65"/>
      <c r="M214" s="65" t="str">
        <f>IFERROR(VLOOKUP($A214,PRIORIDAD_UNO[[Nombre del requerimiento]:[Fin Producción]],21,FALSE),"")</f>
        <v/>
      </c>
      <c r="N214" s="65"/>
    </row>
    <row r="215" spans="1:14">
      <c r="A215" s="70"/>
      <c r="B215" s="64" t="str">
        <f>IFERROR(
VLOOKUP(A215,PRIORIDAD_UNO[[Nombre del requerimiento]:[Tamaño]],5,FALSE),"")</f>
        <v/>
      </c>
      <c r="C215" s="65"/>
      <c r="D215" s="66" t="str">
        <f>IF(ISBLANK(A215),"",
IFERROR(IF(VLOOKUP($A215,PRIORIDAD_UNO[[Nombre del requerimiento]:[Fin Producción]],6,FALSE)=0,"",VLOOKUP($A215,PRIORIDAD_UNO[[Nombre del requerimiento]:[Fin Producción]],6,FALSE)),"No está en hoja Prioridad 1"))</f>
        <v/>
      </c>
      <c r="E215" s="65" t="str">
        <f>IFERROR(IF(VLOOKUP($A215,PRIORIDAD_UNO[[Nombre del requerimiento]:[Fin Producción]],17,FALSE)=0,"",VLOOKUP($A215,PRIORIDAD_UNO[[Nombre del requerimiento]:[Fin Producción]],17,FALSE)),"")</f>
        <v/>
      </c>
      <c r="F215" s="65"/>
      <c r="G215" s="65" t="str">
        <f>IFERROR(VLOOKUP($A215,PRIORIDAD_UNO[[Nombre del requerimiento]:[Fin Producción]],18,FALSE),"")</f>
        <v/>
      </c>
      <c r="H215" s="65"/>
      <c r="I215" s="65" t="str">
        <f>IFERROR(VLOOKUP($A215,PRIORIDAD_UNO[[Nombre del requerimiento]:[Fin Producción]],19,FALSE),"")</f>
        <v/>
      </c>
      <c r="J215" s="65"/>
      <c r="K215" s="65" t="str">
        <f>IFERROR(VLOOKUP($A215,PRIORIDAD_UNO[[Nombre del requerimiento]:[Fin Producción]],20,FALSE),"")</f>
        <v/>
      </c>
      <c r="L215" s="65"/>
      <c r="M215" s="65" t="str">
        <f>IFERROR(VLOOKUP($A215,PRIORIDAD_UNO[[Nombre del requerimiento]:[Fin Producción]],21,FALSE),"")</f>
        <v/>
      </c>
      <c r="N215" s="65"/>
    </row>
    <row r="216" spans="1:14">
      <c r="A216" s="70"/>
      <c r="B216" s="64" t="str">
        <f>IFERROR(
VLOOKUP(A216,PRIORIDAD_UNO[[Nombre del requerimiento]:[Tamaño]],5,FALSE),"")</f>
        <v/>
      </c>
      <c r="C216" s="65"/>
      <c r="D216" s="66" t="str">
        <f>IF(ISBLANK(A216),"",
IFERROR(IF(VLOOKUP($A216,PRIORIDAD_UNO[[Nombre del requerimiento]:[Fin Producción]],6,FALSE)=0,"",VLOOKUP($A216,PRIORIDAD_UNO[[Nombre del requerimiento]:[Fin Producción]],6,FALSE)),"No está en hoja Prioridad 1"))</f>
        <v/>
      </c>
      <c r="E216" s="65" t="str">
        <f>IFERROR(IF(VLOOKUP($A216,PRIORIDAD_UNO[[Nombre del requerimiento]:[Fin Producción]],17,FALSE)=0,"",VLOOKUP($A216,PRIORIDAD_UNO[[Nombre del requerimiento]:[Fin Producción]],17,FALSE)),"")</f>
        <v/>
      </c>
      <c r="F216" s="65"/>
      <c r="G216" s="65" t="str">
        <f>IFERROR(VLOOKUP($A216,PRIORIDAD_UNO[[Nombre del requerimiento]:[Fin Producción]],18,FALSE),"")</f>
        <v/>
      </c>
      <c r="H216" s="65"/>
      <c r="I216" s="65" t="str">
        <f>IFERROR(VLOOKUP($A216,PRIORIDAD_UNO[[Nombre del requerimiento]:[Fin Producción]],19,FALSE),"")</f>
        <v/>
      </c>
      <c r="J216" s="65"/>
      <c r="K216" s="65" t="str">
        <f>IFERROR(VLOOKUP($A216,PRIORIDAD_UNO[[Nombre del requerimiento]:[Fin Producción]],20,FALSE),"")</f>
        <v/>
      </c>
      <c r="L216" s="65"/>
      <c r="M216" s="65" t="str">
        <f>IFERROR(VLOOKUP($A216,PRIORIDAD_UNO[[Nombre del requerimiento]:[Fin Producción]],21,FALSE),"")</f>
        <v/>
      </c>
      <c r="N216" s="65"/>
    </row>
    <row r="217" spans="1:14">
      <c r="A217" s="70"/>
      <c r="B217" s="64" t="str">
        <f>IFERROR(
VLOOKUP(A217,PRIORIDAD_UNO[[Nombre del requerimiento]:[Tamaño]],5,FALSE),"")</f>
        <v/>
      </c>
      <c r="C217" s="65"/>
      <c r="D217" s="66" t="str">
        <f>IF(ISBLANK(A217),"",
IFERROR(IF(VLOOKUP($A217,PRIORIDAD_UNO[[Nombre del requerimiento]:[Fin Producción]],6,FALSE)=0,"",VLOOKUP($A217,PRIORIDAD_UNO[[Nombre del requerimiento]:[Fin Producción]],6,FALSE)),"No está en hoja Prioridad 1"))</f>
        <v/>
      </c>
      <c r="E217" s="65" t="str">
        <f>IFERROR(IF(VLOOKUP($A217,PRIORIDAD_UNO[[Nombre del requerimiento]:[Fin Producción]],17,FALSE)=0,"",VLOOKUP($A217,PRIORIDAD_UNO[[Nombre del requerimiento]:[Fin Producción]],17,FALSE)),"")</f>
        <v/>
      </c>
      <c r="F217" s="65"/>
      <c r="G217" s="65" t="str">
        <f>IFERROR(VLOOKUP($A217,PRIORIDAD_UNO[[Nombre del requerimiento]:[Fin Producción]],18,FALSE),"")</f>
        <v/>
      </c>
      <c r="H217" s="65"/>
      <c r="I217" s="65" t="str">
        <f>IFERROR(VLOOKUP($A217,PRIORIDAD_UNO[[Nombre del requerimiento]:[Fin Producción]],19,FALSE),"")</f>
        <v/>
      </c>
      <c r="J217" s="65"/>
      <c r="K217" s="65" t="str">
        <f>IFERROR(VLOOKUP($A217,PRIORIDAD_UNO[[Nombre del requerimiento]:[Fin Producción]],20,FALSE),"")</f>
        <v/>
      </c>
      <c r="L217" s="65"/>
      <c r="M217" s="65" t="str">
        <f>IFERROR(VLOOKUP($A217,PRIORIDAD_UNO[[Nombre del requerimiento]:[Fin Producción]],21,FALSE),"")</f>
        <v/>
      </c>
      <c r="N217" s="65"/>
    </row>
    <row r="218" spans="1:14">
      <c r="A218" s="70"/>
      <c r="B218" s="64" t="str">
        <f>IFERROR(
VLOOKUP(A218,PRIORIDAD_UNO[[Nombre del requerimiento]:[Tamaño]],5,FALSE),"")</f>
        <v/>
      </c>
      <c r="C218" s="65"/>
      <c r="D218" s="66" t="str">
        <f>IF(ISBLANK(A218),"",
IFERROR(IF(VLOOKUP($A218,PRIORIDAD_UNO[[Nombre del requerimiento]:[Fin Producción]],6,FALSE)=0,"",VLOOKUP($A218,PRIORIDAD_UNO[[Nombre del requerimiento]:[Fin Producción]],6,FALSE)),"No está en hoja Prioridad 1"))</f>
        <v/>
      </c>
      <c r="E218" s="65" t="str">
        <f>IFERROR(IF(VLOOKUP($A218,PRIORIDAD_UNO[[Nombre del requerimiento]:[Fin Producción]],17,FALSE)=0,"",VLOOKUP($A218,PRIORIDAD_UNO[[Nombre del requerimiento]:[Fin Producción]],17,FALSE)),"")</f>
        <v/>
      </c>
      <c r="F218" s="65"/>
      <c r="G218" s="65" t="str">
        <f>IFERROR(VLOOKUP($A218,PRIORIDAD_UNO[[Nombre del requerimiento]:[Fin Producción]],18,FALSE),"")</f>
        <v/>
      </c>
      <c r="H218" s="65"/>
      <c r="I218" s="65" t="str">
        <f>IFERROR(VLOOKUP($A218,PRIORIDAD_UNO[[Nombre del requerimiento]:[Fin Producción]],19,FALSE),"")</f>
        <v/>
      </c>
      <c r="J218" s="65"/>
      <c r="K218" s="65" t="str">
        <f>IFERROR(VLOOKUP($A218,PRIORIDAD_UNO[[Nombre del requerimiento]:[Fin Producción]],20,FALSE),"")</f>
        <v/>
      </c>
      <c r="L218" s="65"/>
      <c r="M218" s="65" t="str">
        <f>IFERROR(VLOOKUP($A218,PRIORIDAD_UNO[[Nombre del requerimiento]:[Fin Producción]],21,FALSE),"")</f>
        <v/>
      </c>
      <c r="N218" s="65"/>
    </row>
    <row r="219" spans="1:14">
      <c r="A219" s="70"/>
      <c r="B219" s="64" t="str">
        <f>IFERROR(
VLOOKUP(A219,PRIORIDAD_UNO[[Nombre del requerimiento]:[Tamaño]],5,FALSE),"")</f>
        <v/>
      </c>
      <c r="C219" s="65"/>
      <c r="D219" s="66" t="str">
        <f>IF(ISBLANK(A219),"",
IFERROR(IF(VLOOKUP($A219,PRIORIDAD_UNO[[Nombre del requerimiento]:[Fin Producción]],6,FALSE)=0,"",VLOOKUP($A219,PRIORIDAD_UNO[[Nombre del requerimiento]:[Fin Producción]],6,FALSE)),"No está en hoja Prioridad 1"))</f>
        <v/>
      </c>
      <c r="E219" s="65" t="str">
        <f>IFERROR(IF(VLOOKUP($A219,PRIORIDAD_UNO[[Nombre del requerimiento]:[Fin Producción]],17,FALSE)=0,"",VLOOKUP($A219,PRIORIDAD_UNO[[Nombre del requerimiento]:[Fin Producción]],17,FALSE)),"")</f>
        <v/>
      </c>
      <c r="F219" s="65"/>
      <c r="G219" s="65" t="str">
        <f>IFERROR(VLOOKUP($A219,PRIORIDAD_UNO[[Nombre del requerimiento]:[Fin Producción]],18,FALSE),"")</f>
        <v/>
      </c>
      <c r="H219" s="65"/>
      <c r="I219" s="65" t="str">
        <f>IFERROR(VLOOKUP($A219,PRIORIDAD_UNO[[Nombre del requerimiento]:[Fin Producción]],19,FALSE),"")</f>
        <v/>
      </c>
      <c r="J219" s="65"/>
      <c r="K219" s="65" t="str">
        <f>IFERROR(VLOOKUP($A219,PRIORIDAD_UNO[[Nombre del requerimiento]:[Fin Producción]],20,FALSE),"")</f>
        <v/>
      </c>
      <c r="L219" s="65"/>
      <c r="M219" s="65" t="str">
        <f>IFERROR(VLOOKUP($A219,PRIORIDAD_UNO[[Nombre del requerimiento]:[Fin Producción]],21,FALSE),"")</f>
        <v/>
      </c>
      <c r="N219" s="65"/>
    </row>
    <row r="220" spans="1:14">
      <c r="A220" s="70"/>
      <c r="B220" s="64" t="str">
        <f>IFERROR(
VLOOKUP(A220,PRIORIDAD_UNO[[Nombre del requerimiento]:[Tamaño]],5,FALSE),"")</f>
        <v/>
      </c>
      <c r="C220" s="65"/>
      <c r="D220" s="66" t="str">
        <f>IF(ISBLANK(A220),"",
IFERROR(IF(VLOOKUP($A220,PRIORIDAD_UNO[[Nombre del requerimiento]:[Fin Producción]],6,FALSE)=0,"",VLOOKUP($A220,PRIORIDAD_UNO[[Nombre del requerimiento]:[Fin Producción]],6,FALSE)),"No está en hoja Prioridad 1"))</f>
        <v/>
      </c>
      <c r="E220" s="65" t="str">
        <f>IFERROR(IF(VLOOKUP($A220,PRIORIDAD_UNO[[Nombre del requerimiento]:[Fin Producción]],17,FALSE)=0,"",VLOOKUP($A220,PRIORIDAD_UNO[[Nombre del requerimiento]:[Fin Producción]],17,FALSE)),"")</f>
        <v/>
      </c>
      <c r="F220" s="65"/>
      <c r="G220" s="65" t="str">
        <f>IFERROR(VLOOKUP($A220,PRIORIDAD_UNO[[Nombre del requerimiento]:[Fin Producción]],18,FALSE),"")</f>
        <v/>
      </c>
      <c r="H220" s="65"/>
      <c r="I220" s="65" t="str">
        <f>IFERROR(VLOOKUP($A220,PRIORIDAD_UNO[[Nombre del requerimiento]:[Fin Producción]],19,FALSE),"")</f>
        <v/>
      </c>
      <c r="J220" s="65"/>
      <c r="K220" s="65" t="str">
        <f>IFERROR(VLOOKUP($A220,PRIORIDAD_UNO[[Nombre del requerimiento]:[Fin Producción]],20,FALSE),"")</f>
        <v/>
      </c>
      <c r="L220" s="65"/>
      <c r="M220" s="65" t="str">
        <f>IFERROR(VLOOKUP($A220,PRIORIDAD_UNO[[Nombre del requerimiento]:[Fin Producción]],21,FALSE),"")</f>
        <v/>
      </c>
      <c r="N220" s="65"/>
    </row>
    <row r="221" spans="1:14">
      <c r="A221" s="70"/>
      <c r="B221" s="64" t="str">
        <f>IFERROR(
VLOOKUP(A221,PRIORIDAD_UNO[[Nombre del requerimiento]:[Tamaño]],5,FALSE),"")</f>
        <v/>
      </c>
      <c r="C221" s="65"/>
      <c r="D221" s="66" t="str">
        <f>IF(ISBLANK(A221),"",
IFERROR(IF(VLOOKUP($A221,PRIORIDAD_UNO[[Nombre del requerimiento]:[Fin Producción]],6,FALSE)=0,"",VLOOKUP($A221,PRIORIDAD_UNO[[Nombre del requerimiento]:[Fin Producción]],6,FALSE)),"No está en hoja Prioridad 1"))</f>
        <v/>
      </c>
      <c r="E221" s="65" t="str">
        <f>IFERROR(IF(VLOOKUP($A221,PRIORIDAD_UNO[[Nombre del requerimiento]:[Fin Producción]],17,FALSE)=0,"",VLOOKUP($A221,PRIORIDAD_UNO[[Nombre del requerimiento]:[Fin Producción]],17,FALSE)),"")</f>
        <v/>
      </c>
      <c r="F221" s="65"/>
      <c r="G221" s="65" t="str">
        <f>IFERROR(VLOOKUP($A221,PRIORIDAD_UNO[[Nombre del requerimiento]:[Fin Producción]],18,FALSE),"")</f>
        <v/>
      </c>
      <c r="H221" s="65"/>
      <c r="I221" s="65" t="str">
        <f>IFERROR(VLOOKUP($A221,PRIORIDAD_UNO[[Nombre del requerimiento]:[Fin Producción]],19,FALSE),"")</f>
        <v/>
      </c>
      <c r="J221" s="65"/>
      <c r="K221" s="65" t="str">
        <f>IFERROR(VLOOKUP($A221,PRIORIDAD_UNO[[Nombre del requerimiento]:[Fin Producción]],20,FALSE),"")</f>
        <v/>
      </c>
      <c r="L221" s="65"/>
      <c r="M221" s="65" t="str">
        <f>IFERROR(VLOOKUP($A221,PRIORIDAD_UNO[[Nombre del requerimiento]:[Fin Producción]],21,FALSE),"")</f>
        <v/>
      </c>
      <c r="N221" s="65"/>
    </row>
    <row r="222" spans="1:14">
      <c r="A222" s="70"/>
      <c r="B222" s="64" t="str">
        <f>IFERROR(
VLOOKUP(A222,PRIORIDAD_UNO[[Nombre del requerimiento]:[Tamaño]],5,FALSE),"")</f>
        <v/>
      </c>
      <c r="C222" s="65"/>
      <c r="D222" s="66" t="str">
        <f>IF(ISBLANK(A222),"",
IFERROR(IF(VLOOKUP($A222,PRIORIDAD_UNO[[Nombre del requerimiento]:[Fin Producción]],6,FALSE)=0,"",VLOOKUP($A222,PRIORIDAD_UNO[[Nombre del requerimiento]:[Fin Producción]],6,FALSE)),"No está en hoja Prioridad 1"))</f>
        <v/>
      </c>
      <c r="E222" s="65" t="str">
        <f>IFERROR(IF(VLOOKUP($A222,PRIORIDAD_UNO[[Nombre del requerimiento]:[Fin Producción]],17,FALSE)=0,"",VLOOKUP($A222,PRIORIDAD_UNO[[Nombre del requerimiento]:[Fin Producción]],17,FALSE)),"")</f>
        <v/>
      </c>
      <c r="F222" s="65"/>
      <c r="G222" s="65" t="str">
        <f>IFERROR(VLOOKUP($A222,PRIORIDAD_UNO[[Nombre del requerimiento]:[Fin Producción]],18,FALSE),"")</f>
        <v/>
      </c>
      <c r="H222" s="65"/>
      <c r="I222" s="65" t="str">
        <f>IFERROR(VLOOKUP($A222,PRIORIDAD_UNO[[Nombre del requerimiento]:[Fin Producción]],19,FALSE),"")</f>
        <v/>
      </c>
      <c r="J222" s="65"/>
      <c r="K222" s="65" t="str">
        <f>IFERROR(VLOOKUP($A222,PRIORIDAD_UNO[[Nombre del requerimiento]:[Fin Producción]],20,FALSE),"")</f>
        <v/>
      </c>
      <c r="L222" s="65"/>
      <c r="M222" s="65" t="str">
        <f>IFERROR(VLOOKUP($A222,PRIORIDAD_UNO[[Nombre del requerimiento]:[Fin Producción]],21,FALSE),"")</f>
        <v/>
      </c>
      <c r="N222" s="65"/>
    </row>
    <row r="223" spans="1:14">
      <c r="A223" s="70"/>
      <c r="B223" s="64" t="str">
        <f>IFERROR(
VLOOKUP(A223,PRIORIDAD_UNO[[Nombre del requerimiento]:[Tamaño]],5,FALSE),"")</f>
        <v/>
      </c>
      <c r="C223" s="65"/>
      <c r="D223" s="66" t="str">
        <f>IF(ISBLANK(A223),"",
IFERROR(IF(VLOOKUP($A223,PRIORIDAD_UNO[[Nombre del requerimiento]:[Fin Producción]],6,FALSE)=0,"",VLOOKUP($A223,PRIORIDAD_UNO[[Nombre del requerimiento]:[Fin Producción]],6,FALSE)),"No está en hoja Prioridad 1"))</f>
        <v/>
      </c>
      <c r="E223" s="65" t="str">
        <f>IFERROR(IF(VLOOKUP($A223,PRIORIDAD_UNO[[Nombre del requerimiento]:[Fin Producción]],17,FALSE)=0,"",VLOOKUP($A223,PRIORIDAD_UNO[[Nombre del requerimiento]:[Fin Producción]],17,FALSE)),"")</f>
        <v/>
      </c>
      <c r="F223" s="65"/>
      <c r="G223" s="65" t="str">
        <f>IFERROR(VLOOKUP($A223,PRIORIDAD_UNO[[Nombre del requerimiento]:[Fin Producción]],18,FALSE),"")</f>
        <v/>
      </c>
      <c r="H223" s="65"/>
      <c r="I223" s="65" t="str">
        <f>IFERROR(VLOOKUP($A223,PRIORIDAD_UNO[[Nombre del requerimiento]:[Fin Producción]],19,FALSE),"")</f>
        <v/>
      </c>
      <c r="J223" s="65"/>
      <c r="K223" s="65" t="str">
        <f>IFERROR(VLOOKUP($A223,PRIORIDAD_UNO[[Nombre del requerimiento]:[Fin Producción]],20,FALSE),"")</f>
        <v/>
      </c>
      <c r="L223" s="65"/>
      <c r="M223" s="65" t="str">
        <f>IFERROR(VLOOKUP($A223,PRIORIDAD_UNO[[Nombre del requerimiento]:[Fin Producción]],21,FALSE),"")</f>
        <v/>
      </c>
      <c r="N223" s="65"/>
    </row>
    <row r="224" spans="1:14">
      <c r="A224" s="70"/>
      <c r="B224" s="64" t="str">
        <f>IFERROR(
VLOOKUP(A224,PRIORIDAD_UNO[[Nombre del requerimiento]:[Tamaño]],5,FALSE),"")</f>
        <v/>
      </c>
      <c r="C224" s="65"/>
      <c r="D224" s="66" t="str">
        <f>IF(ISBLANK(A224),"",
IFERROR(IF(VLOOKUP($A224,PRIORIDAD_UNO[[Nombre del requerimiento]:[Fin Producción]],6,FALSE)=0,"",VLOOKUP($A224,PRIORIDAD_UNO[[Nombre del requerimiento]:[Fin Producción]],6,FALSE)),"No está en hoja Prioridad 1"))</f>
        <v/>
      </c>
      <c r="E224" s="65" t="str">
        <f>IFERROR(IF(VLOOKUP($A224,PRIORIDAD_UNO[[Nombre del requerimiento]:[Fin Producción]],17,FALSE)=0,"",VLOOKUP($A224,PRIORIDAD_UNO[[Nombre del requerimiento]:[Fin Producción]],17,FALSE)),"")</f>
        <v/>
      </c>
      <c r="F224" s="65"/>
      <c r="G224" s="65" t="str">
        <f>IFERROR(VLOOKUP($A224,PRIORIDAD_UNO[[Nombre del requerimiento]:[Fin Producción]],18,FALSE),"")</f>
        <v/>
      </c>
      <c r="H224" s="65"/>
      <c r="I224" s="65" t="str">
        <f>IFERROR(VLOOKUP($A224,PRIORIDAD_UNO[[Nombre del requerimiento]:[Fin Producción]],19,FALSE),"")</f>
        <v/>
      </c>
      <c r="J224" s="65"/>
      <c r="K224" s="65" t="str">
        <f>IFERROR(VLOOKUP($A224,PRIORIDAD_UNO[[Nombre del requerimiento]:[Fin Producción]],20,FALSE),"")</f>
        <v/>
      </c>
      <c r="L224" s="65"/>
      <c r="M224" s="65" t="str">
        <f>IFERROR(VLOOKUP($A224,PRIORIDAD_UNO[[Nombre del requerimiento]:[Fin Producción]],21,FALSE),"")</f>
        <v/>
      </c>
      <c r="N224" s="65"/>
    </row>
    <row r="225" spans="1:14">
      <c r="A225" s="70"/>
      <c r="B225" s="64" t="str">
        <f>IFERROR(
VLOOKUP(A225,PRIORIDAD_UNO[[Nombre del requerimiento]:[Tamaño]],5,FALSE),"")</f>
        <v/>
      </c>
      <c r="C225" s="65"/>
      <c r="D225" s="66" t="str">
        <f>IF(ISBLANK(A225),"",
IFERROR(IF(VLOOKUP($A225,PRIORIDAD_UNO[[Nombre del requerimiento]:[Fin Producción]],6,FALSE)=0,"",VLOOKUP($A225,PRIORIDAD_UNO[[Nombre del requerimiento]:[Fin Producción]],6,FALSE)),"No está en hoja Prioridad 1"))</f>
        <v/>
      </c>
      <c r="E225" s="65" t="str">
        <f>IFERROR(IF(VLOOKUP($A225,PRIORIDAD_UNO[[Nombre del requerimiento]:[Fin Producción]],17,FALSE)=0,"",VLOOKUP($A225,PRIORIDAD_UNO[[Nombre del requerimiento]:[Fin Producción]],17,FALSE)),"")</f>
        <v/>
      </c>
      <c r="F225" s="65"/>
      <c r="G225" s="65" t="str">
        <f>IFERROR(VLOOKUP($A225,PRIORIDAD_UNO[[Nombre del requerimiento]:[Fin Producción]],18,FALSE),"")</f>
        <v/>
      </c>
      <c r="H225" s="65"/>
      <c r="I225" s="65" t="str">
        <f>IFERROR(VLOOKUP($A225,PRIORIDAD_UNO[[Nombre del requerimiento]:[Fin Producción]],19,FALSE),"")</f>
        <v/>
      </c>
      <c r="J225" s="65"/>
      <c r="K225" s="65" t="str">
        <f>IFERROR(VLOOKUP($A225,PRIORIDAD_UNO[[Nombre del requerimiento]:[Fin Producción]],20,FALSE),"")</f>
        <v/>
      </c>
      <c r="L225" s="65"/>
      <c r="M225" s="65" t="str">
        <f>IFERROR(VLOOKUP($A225,PRIORIDAD_UNO[[Nombre del requerimiento]:[Fin Producción]],21,FALSE),"")</f>
        <v/>
      </c>
      <c r="N225" s="65"/>
    </row>
    <row r="226" spans="1:14">
      <c r="A226" s="70"/>
      <c r="B226" s="64" t="str">
        <f>IFERROR(
VLOOKUP(A226,PRIORIDAD_UNO[[Nombre del requerimiento]:[Tamaño]],5,FALSE),"")</f>
        <v/>
      </c>
      <c r="C226" s="65"/>
      <c r="D226" s="66" t="str">
        <f>IF(ISBLANK(A226),"",
IFERROR(IF(VLOOKUP($A226,PRIORIDAD_UNO[[Nombre del requerimiento]:[Fin Producción]],6,FALSE)=0,"",VLOOKUP($A226,PRIORIDAD_UNO[[Nombre del requerimiento]:[Fin Producción]],6,FALSE)),"No está en hoja Prioridad 1"))</f>
        <v/>
      </c>
      <c r="E226" s="65" t="str">
        <f>IFERROR(IF(VLOOKUP($A226,PRIORIDAD_UNO[[Nombre del requerimiento]:[Fin Producción]],17,FALSE)=0,"",VLOOKUP($A226,PRIORIDAD_UNO[[Nombre del requerimiento]:[Fin Producción]],17,FALSE)),"")</f>
        <v/>
      </c>
      <c r="F226" s="65"/>
      <c r="G226" s="65" t="str">
        <f>IFERROR(VLOOKUP($A226,PRIORIDAD_UNO[[Nombre del requerimiento]:[Fin Producción]],18,FALSE),"")</f>
        <v/>
      </c>
      <c r="H226" s="65"/>
      <c r="I226" s="65" t="str">
        <f>IFERROR(VLOOKUP($A226,PRIORIDAD_UNO[[Nombre del requerimiento]:[Fin Producción]],19,FALSE),"")</f>
        <v/>
      </c>
      <c r="J226" s="65"/>
      <c r="K226" s="65" t="str">
        <f>IFERROR(VLOOKUP($A226,PRIORIDAD_UNO[[Nombre del requerimiento]:[Fin Producción]],20,FALSE),"")</f>
        <v/>
      </c>
      <c r="L226" s="65"/>
      <c r="M226" s="65" t="str">
        <f>IFERROR(VLOOKUP($A226,PRIORIDAD_UNO[[Nombre del requerimiento]:[Fin Producción]],21,FALSE),"")</f>
        <v/>
      </c>
      <c r="N226" s="65"/>
    </row>
    <row r="227" spans="1:14">
      <c r="A227" s="70"/>
      <c r="B227" s="64" t="str">
        <f>IFERROR(
VLOOKUP(A227,PRIORIDAD_UNO[[Nombre del requerimiento]:[Tamaño]],5,FALSE),"")</f>
        <v/>
      </c>
      <c r="C227" s="65"/>
      <c r="D227" s="66" t="str">
        <f>IF(ISBLANK(A227),"",
IFERROR(IF(VLOOKUP($A227,PRIORIDAD_UNO[[Nombre del requerimiento]:[Fin Producción]],6,FALSE)=0,"",VLOOKUP($A227,PRIORIDAD_UNO[[Nombre del requerimiento]:[Fin Producción]],6,FALSE)),"No está en hoja Prioridad 1"))</f>
        <v/>
      </c>
      <c r="E227" s="65" t="str">
        <f>IFERROR(IF(VLOOKUP($A227,PRIORIDAD_UNO[[Nombre del requerimiento]:[Fin Producción]],17,FALSE)=0,"",VLOOKUP($A227,PRIORIDAD_UNO[[Nombre del requerimiento]:[Fin Producción]],17,FALSE)),"")</f>
        <v/>
      </c>
      <c r="F227" s="65"/>
      <c r="G227" s="65" t="str">
        <f>IFERROR(VLOOKUP($A227,PRIORIDAD_UNO[[Nombre del requerimiento]:[Fin Producción]],18,FALSE),"")</f>
        <v/>
      </c>
      <c r="H227" s="65"/>
      <c r="I227" s="65" t="str">
        <f>IFERROR(VLOOKUP($A227,PRIORIDAD_UNO[[Nombre del requerimiento]:[Fin Producción]],19,FALSE),"")</f>
        <v/>
      </c>
      <c r="J227" s="65"/>
      <c r="K227" s="65" t="str">
        <f>IFERROR(VLOOKUP($A227,PRIORIDAD_UNO[[Nombre del requerimiento]:[Fin Producción]],20,FALSE),"")</f>
        <v/>
      </c>
      <c r="L227" s="65"/>
      <c r="M227" s="65" t="str">
        <f>IFERROR(VLOOKUP($A227,PRIORIDAD_UNO[[Nombre del requerimiento]:[Fin Producción]],21,FALSE),"")</f>
        <v/>
      </c>
      <c r="N227" s="65"/>
    </row>
    <row r="228" spans="1:14">
      <c r="A228" s="70"/>
      <c r="B228" s="64" t="str">
        <f>IFERROR(
VLOOKUP(A228,PRIORIDAD_UNO[[Nombre del requerimiento]:[Tamaño]],5,FALSE),"")</f>
        <v/>
      </c>
      <c r="C228" s="65"/>
      <c r="D228" s="66" t="str">
        <f>IF(ISBLANK(A228),"",
IFERROR(IF(VLOOKUP($A228,PRIORIDAD_UNO[[Nombre del requerimiento]:[Fin Producción]],6,FALSE)=0,"",VLOOKUP($A228,PRIORIDAD_UNO[[Nombre del requerimiento]:[Fin Producción]],6,FALSE)),"No está en hoja Prioridad 1"))</f>
        <v/>
      </c>
      <c r="E228" s="65" t="str">
        <f>IFERROR(IF(VLOOKUP($A228,PRIORIDAD_UNO[[Nombre del requerimiento]:[Fin Producción]],17,FALSE)=0,"",VLOOKUP($A228,PRIORIDAD_UNO[[Nombre del requerimiento]:[Fin Producción]],17,FALSE)),"")</f>
        <v/>
      </c>
      <c r="F228" s="65"/>
      <c r="G228" s="65" t="str">
        <f>IFERROR(VLOOKUP($A228,PRIORIDAD_UNO[[Nombre del requerimiento]:[Fin Producción]],18,FALSE),"")</f>
        <v/>
      </c>
      <c r="H228" s="65"/>
      <c r="I228" s="65" t="str">
        <f>IFERROR(VLOOKUP($A228,PRIORIDAD_UNO[[Nombre del requerimiento]:[Fin Producción]],19,FALSE),"")</f>
        <v/>
      </c>
      <c r="J228" s="65"/>
      <c r="K228" s="65" t="str">
        <f>IFERROR(VLOOKUP($A228,PRIORIDAD_UNO[[Nombre del requerimiento]:[Fin Producción]],20,FALSE),"")</f>
        <v/>
      </c>
      <c r="L228" s="65"/>
      <c r="M228" s="65" t="str">
        <f>IFERROR(VLOOKUP($A228,PRIORIDAD_UNO[[Nombre del requerimiento]:[Fin Producción]],21,FALSE),"")</f>
        <v/>
      </c>
      <c r="N228" s="65"/>
    </row>
    <row r="229" spans="1:14">
      <c r="A229" s="70"/>
      <c r="B229" s="64" t="str">
        <f>IFERROR(
VLOOKUP(A229,PRIORIDAD_UNO[[Nombre del requerimiento]:[Tamaño]],5,FALSE),"")</f>
        <v/>
      </c>
      <c r="C229" s="65"/>
      <c r="D229" s="66" t="str">
        <f>IF(ISBLANK(A229),"",
IFERROR(IF(VLOOKUP($A229,PRIORIDAD_UNO[[Nombre del requerimiento]:[Fin Producción]],6,FALSE)=0,"",VLOOKUP($A229,PRIORIDAD_UNO[[Nombre del requerimiento]:[Fin Producción]],6,FALSE)),"No está en hoja Prioridad 1"))</f>
        <v/>
      </c>
      <c r="E229" s="65" t="str">
        <f>IFERROR(IF(VLOOKUP($A229,PRIORIDAD_UNO[[Nombre del requerimiento]:[Fin Producción]],17,FALSE)=0,"",VLOOKUP($A229,PRIORIDAD_UNO[[Nombre del requerimiento]:[Fin Producción]],17,FALSE)),"")</f>
        <v/>
      </c>
      <c r="F229" s="65"/>
      <c r="G229" s="65" t="str">
        <f>IFERROR(VLOOKUP($A229,PRIORIDAD_UNO[[Nombre del requerimiento]:[Fin Producción]],18,FALSE),"")</f>
        <v/>
      </c>
      <c r="H229" s="65"/>
      <c r="I229" s="65" t="str">
        <f>IFERROR(VLOOKUP($A229,PRIORIDAD_UNO[[Nombre del requerimiento]:[Fin Producción]],19,FALSE),"")</f>
        <v/>
      </c>
      <c r="J229" s="65"/>
      <c r="K229" s="65" t="str">
        <f>IFERROR(VLOOKUP($A229,PRIORIDAD_UNO[[Nombre del requerimiento]:[Fin Producción]],20,FALSE),"")</f>
        <v/>
      </c>
      <c r="L229" s="65"/>
      <c r="M229" s="65" t="str">
        <f>IFERROR(VLOOKUP($A229,PRIORIDAD_UNO[[Nombre del requerimiento]:[Fin Producción]],21,FALSE),"")</f>
        <v/>
      </c>
      <c r="N229" s="65"/>
    </row>
    <row r="230" spans="1:14">
      <c r="A230" s="70"/>
      <c r="B230" s="64" t="str">
        <f>IFERROR(
VLOOKUP(A230,PRIORIDAD_UNO[[Nombre del requerimiento]:[Tamaño]],5,FALSE),"")</f>
        <v/>
      </c>
      <c r="C230" s="65"/>
      <c r="D230" s="66" t="str">
        <f>IF(ISBLANK(A230),"",
IFERROR(IF(VLOOKUP($A230,PRIORIDAD_UNO[[Nombre del requerimiento]:[Fin Producción]],6,FALSE)=0,"",VLOOKUP($A230,PRIORIDAD_UNO[[Nombre del requerimiento]:[Fin Producción]],6,FALSE)),"No está en hoja Prioridad 1"))</f>
        <v/>
      </c>
      <c r="E230" s="65" t="str">
        <f>IFERROR(IF(VLOOKUP($A230,PRIORIDAD_UNO[[Nombre del requerimiento]:[Fin Producción]],17,FALSE)=0,"",VLOOKUP($A230,PRIORIDAD_UNO[[Nombre del requerimiento]:[Fin Producción]],17,FALSE)),"")</f>
        <v/>
      </c>
      <c r="F230" s="65"/>
      <c r="G230" s="65" t="str">
        <f>IFERROR(VLOOKUP($A230,PRIORIDAD_UNO[[Nombre del requerimiento]:[Fin Producción]],18,FALSE),"")</f>
        <v/>
      </c>
      <c r="H230" s="65"/>
      <c r="I230" s="65" t="str">
        <f>IFERROR(VLOOKUP($A230,PRIORIDAD_UNO[[Nombre del requerimiento]:[Fin Producción]],19,FALSE),"")</f>
        <v/>
      </c>
      <c r="J230" s="65"/>
      <c r="K230" s="65" t="str">
        <f>IFERROR(VLOOKUP($A230,PRIORIDAD_UNO[[Nombre del requerimiento]:[Fin Producción]],20,FALSE),"")</f>
        <v/>
      </c>
      <c r="L230" s="65"/>
      <c r="M230" s="65" t="str">
        <f>IFERROR(VLOOKUP($A230,PRIORIDAD_UNO[[Nombre del requerimiento]:[Fin Producción]],21,FALSE),"")</f>
        <v/>
      </c>
      <c r="N230" s="65"/>
    </row>
    <row r="231" spans="1:14">
      <c r="A231" s="70"/>
      <c r="B231" s="64" t="str">
        <f>IFERROR(
VLOOKUP(A231,PRIORIDAD_UNO[[Nombre del requerimiento]:[Tamaño]],5,FALSE),"")</f>
        <v/>
      </c>
      <c r="C231" s="65"/>
      <c r="D231" s="66" t="str">
        <f>IF(ISBLANK(A231),"",
IFERROR(IF(VLOOKUP($A231,PRIORIDAD_UNO[[Nombre del requerimiento]:[Fin Producción]],6,FALSE)=0,"",VLOOKUP($A231,PRIORIDAD_UNO[[Nombre del requerimiento]:[Fin Producción]],6,FALSE)),"No está en hoja Prioridad 1"))</f>
        <v/>
      </c>
      <c r="E231" s="65" t="str">
        <f>IFERROR(IF(VLOOKUP($A231,PRIORIDAD_UNO[[Nombre del requerimiento]:[Fin Producción]],17,FALSE)=0,"",VLOOKUP($A231,PRIORIDAD_UNO[[Nombre del requerimiento]:[Fin Producción]],17,FALSE)),"")</f>
        <v/>
      </c>
      <c r="F231" s="65"/>
      <c r="G231" s="65" t="str">
        <f>IFERROR(VLOOKUP($A231,PRIORIDAD_UNO[[Nombre del requerimiento]:[Fin Producción]],18,FALSE),"")</f>
        <v/>
      </c>
      <c r="H231" s="65"/>
      <c r="I231" s="65" t="str">
        <f>IFERROR(VLOOKUP($A231,PRIORIDAD_UNO[[Nombre del requerimiento]:[Fin Producción]],19,FALSE),"")</f>
        <v/>
      </c>
      <c r="J231" s="65"/>
      <c r="K231" s="65" t="str">
        <f>IFERROR(VLOOKUP($A231,PRIORIDAD_UNO[[Nombre del requerimiento]:[Fin Producción]],20,FALSE),"")</f>
        <v/>
      </c>
      <c r="L231" s="65"/>
      <c r="M231" s="65" t="str">
        <f>IFERROR(VLOOKUP($A231,PRIORIDAD_UNO[[Nombre del requerimiento]:[Fin Producción]],21,FALSE),"")</f>
        <v/>
      </c>
      <c r="N231" s="65"/>
    </row>
    <row r="232" spans="1:14">
      <c r="A232" s="70"/>
      <c r="B232" s="64" t="str">
        <f>IFERROR(
VLOOKUP(A232,PRIORIDAD_UNO[[Nombre del requerimiento]:[Tamaño]],5,FALSE),"")</f>
        <v/>
      </c>
      <c r="C232" s="65"/>
      <c r="D232" s="66" t="str">
        <f>IF(ISBLANK(A232),"",
IFERROR(IF(VLOOKUP($A232,PRIORIDAD_UNO[[Nombre del requerimiento]:[Fin Producción]],6,FALSE)=0,"",VLOOKUP($A232,PRIORIDAD_UNO[[Nombre del requerimiento]:[Fin Producción]],6,FALSE)),"No está en hoja Prioridad 1"))</f>
        <v/>
      </c>
      <c r="E232" s="65" t="str">
        <f>IFERROR(IF(VLOOKUP($A232,PRIORIDAD_UNO[[Nombre del requerimiento]:[Fin Producción]],17,FALSE)=0,"",VLOOKUP($A232,PRIORIDAD_UNO[[Nombre del requerimiento]:[Fin Producción]],17,FALSE)),"")</f>
        <v/>
      </c>
      <c r="F232" s="65"/>
      <c r="G232" s="65" t="str">
        <f>IFERROR(VLOOKUP($A232,PRIORIDAD_UNO[[Nombre del requerimiento]:[Fin Producción]],18,FALSE),"")</f>
        <v/>
      </c>
      <c r="H232" s="65"/>
      <c r="I232" s="65" t="str">
        <f>IFERROR(VLOOKUP($A232,PRIORIDAD_UNO[[Nombre del requerimiento]:[Fin Producción]],19,FALSE),"")</f>
        <v/>
      </c>
      <c r="J232" s="65"/>
      <c r="K232" s="65" t="str">
        <f>IFERROR(VLOOKUP($A232,PRIORIDAD_UNO[[Nombre del requerimiento]:[Fin Producción]],20,FALSE),"")</f>
        <v/>
      </c>
      <c r="L232" s="65"/>
      <c r="M232" s="65" t="str">
        <f>IFERROR(VLOOKUP($A232,PRIORIDAD_UNO[[Nombre del requerimiento]:[Fin Producción]],21,FALSE),"")</f>
        <v/>
      </c>
      <c r="N232" s="65"/>
    </row>
    <row r="233" spans="1:14">
      <c r="A233" s="70"/>
      <c r="B233" s="64" t="str">
        <f>IFERROR(
VLOOKUP(A233,PRIORIDAD_UNO[[Nombre del requerimiento]:[Tamaño]],5,FALSE),"")</f>
        <v/>
      </c>
      <c r="C233" s="65"/>
      <c r="D233" s="66" t="str">
        <f>IF(ISBLANK(A233),"",
IFERROR(IF(VLOOKUP($A233,PRIORIDAD_UNO[[Nombre del requerimiento]:[Fin Producción]],6,FALSE)=0,"",VLOOKUP($A233,PRIORIDAD_UNO[[Nombre del requerimiento]:[Fin Producción]],6,FALSE)),"No está en hoja Prioridad 1"))</f>
        <v/>
      </c>
      <c r="E233" s="65" t="str">
        <f>IFERROR(IF(VLOOKUP($A233,PRIORIDAD_UNO[[Nombre del requerimiento]:[Fin Producción]],17,FALSE)=0,"",VLOOKUP($A233,PRIORIDAD_UNO[[Nombre del requerimiento]:[Fin Producción]],17,FALSE)),"")</f>
        <v/>
      </c>
      <c r="F233" s="65"/>
      <c r="G233" s="65" t="str">
        <f>IFERROR(VLOOKUP($A233,PRIORIDAD_UNO[[Nombre del requerimiento]:[Fin Producción]],18,FALSE),"")</f>
        <v/>
      </c>
      <c r="H233" s="65"/>
      <c r="I233" s="65" t="str">
        <f>IFERROR(VLOOKUP($A233,PRIORIDAD_UNO[[Nombre del requerimiento]:[Fin Producción]],19,FALSE),"")</f>
        <v/>
      </c>
      <c r="J233" s="65"/>
      <c r="K233" s="65" t="str">
        <f>IFERROR(VLOOKUP($A233,PRIORIDAD_UNO[[Nombre del requerimiento]:[Fin Producción]],20,FALSE),"")</f>
        <v/>
      </c>
      <c r="L233" s="65"/>
      <c r="M233" s="65" t="str">
        <f>IFERROR(VLOOKUP($A233,PRIORIDAD_UNO[[Nombre del requerimiento]:[Fin Producción]],21,FALSE),"")</f>
        <v/>
      </c>
      <c r="N233" s="65"/>
    </row>
    <row r="234" spans="1:14">
      <c r="A234" s="70"/>
      <c r="B234" s="64" t="str">
        <f>IFERROR(
VLOOKUP(A234,PRIORIDAD_UNO[[Nombre del requerimiento]:[Tamaño]],5,FALSE),"")</f>
        <v/>
      </c>
      <c r="C234" s="65"/>
      <c r="D234" s="66" t="str">
        <f>IF(ISBLANK(A234),"",
IFERROR(IF(VLOOKUP($A234,PRIORIDAD_UNO[[Nombre del requerimiento]:[Fin Producción]],6,FALSE)=0,"",VLOOKUP($A234,PRIORIDAD_UNO[[Nombre del requerimiento]:[Fin Producción]],6,FALSE)),"No está en hoja Prioridad 1"))</f>
        <v/>
      </c>
      <c r="E234" s="65" t="str">
        <f>IFERROR(IF(VLOOKUP($A234,PRIORIDAD_UNO[[Nombre del requerimiento]:[Fin Producción]],17,FALSE)=0,"",VLOOKUP($A234,PRIORIDAD_UNO[[Nombre del requerimiento]:[Fin Producción]],17,FALSE)),"")</f>
        <v/>
      </c>
      <c r="F234" s="65"/>
      <c r="G234" s="65" t="str">
        <f>IFERROR(VLOOKUP($A234,PRIORIDAD_UNO[[Nombre del requerimiento]:[Fin Producción]],18,FALSE),"")</f>
        <v/>
      </c>
      <c r="H234" s="65"/>
      <c r="I234" s="65" t="str">
        <f>IFERROR(VLOOKUP($A234,PRIORIDAD_UNO[[Nombre del requerimiento]:[Fin Producción]],19,FALSE),"")</f>
        <v/>
      </c>
      <c r="J234" s="65"/>
      <c r="K234" s="65" t="str">
        <f>IFERROR(VLOOKUP($A234,PRIORIDAD_UNO[[Nombre del requerimiento]:[Fin Producción]],20,FALSE),"")</f>
        <v/>
      </c>
      <c r="L234" s="65"/>
      <c r="M234" s="65" t="str">
        <f>IFERROR(VLOOKUP($A234,PRIORIDAD_UNO[[Nombre del requerimiento]:[Fin Producción]],21,FALSE),"")</f>
        <v/>
      </c>
      <c r="N234" s="65"/>
    </row>
    <row r="235" spans="1:14">
      <c r="A235" s="70"/>
      <c r="B235" s="64" t="str">
        <f>IFERROR(
VLOOKUP(A235,PRIORIDAD_UNO[[Nombre del requerimiento]:[Tamaño]],5,FALSE),"")</f>
        <v/>
      </c>
      <c r="C235" s="65"/>
      <c r="D235" s="66" t="str">
        <f>IF(ISBLANK(A235),"",
IFERROR(IF(VLOOKUP($A235,PRIORIDAD_UNO[[Nombre del requerimiento]:[Fin Producción]],6,FALSE)=0,"",VLOOKUP($A235,PRIORIDAD_UNO[[Nombre del requerimiento]:[Fin Producción]],6,FALSE)),"No está en hoja Prioridad 1"))</f>
        <v/>
      </c>
      <c r="E235" s="65" t="str">
        <f>IFERROR(IF(VLOOKUP($A235,PRIORIDAD_UNO[[Nombre del requerimiento]:[Fin Producción]],17,FALSE)=0,"",VLOOKUP($A235,PRIORIDAD_UNO[[Nombre del requerimiento]:[Fin Producción]],17,FALSE)),"")</f>
        <v/>
      </c>
      <c r="F235" s="65"/>
      <c r="G235" s="65" t="str">
        <f>IFERROR(VLOOKUP($A235,PRIORIDAD_UNO[[Nombre del requerimiento]:[Fin Producción]],18,FALSE),"")</f>
        <v/>
      </c>
      <c r="H235" s="65"/>
      <c r="I235" s="65" t="str">
        <f>IFERROR(VLOOKUP($A235,PRIORIDAD_UNO[[Nombre del requerimiento]:[Fin Producción]],19,FALSE),"")</f>
        <v/>
      </c>
      <c r="J235" s="65"/>
      <c r="K235" s="65" t="str">
        <f>IFERROR(VLOOKUP($A235,PRIORIDAD_UNO[[Nombre del requerimiento]:[Fin Producción]],20,FALSE),"")</f>
        <v/>
      </c>
      <c r="L235" s="65"/>
      <c r="M235" s="65" t="str">
        <f>IFERROR(VLOOKUP($A235,PRIORIDAD_UNO[[Nombre del requerimiento]:[Fin Producción]],21,FALSE),"")</f>
        <v/>
      </c>
      <c r="N235" s="65"/>
    </row>
    <row r="236" spans="1:14">
      <c r="A236" s="70"/>
      <c r="B236" s="64" t="str">
        <f>IFERROR(
VLOOKUP(A236,PRIORIDAD_UNO[[Nombre del requerimiento]:[Tamaño]],5,FALSE),"")</f>
        <v/>
      </c>
      <c r="C236" s="65"/>
      <c r="D236" s="66" t="str">
        <f>IF(ISBLANK(A236),"",
IFERROR(IF(VLOOKUP($A236,PRIORIDAD_UNO[[Nombre del requerimiento]:[Fin Producción]],6,FALSE)=0,"",VLOOKUP($A236,PRIORIDAD_UNO[[Nombre del requerimiento]:[Fin Producción]],6,FALSE)),"No está en hoja Prioridad 1"))</f>
        <v/>
      </c>
      <c r="E236" s="65" t="str">
        <f>IFERROR(IF(VLOOKUP($A236,PRIORIDAD_UNO[[Nombre del requerimiento]:[Fin Producción]],17,FALSE)=0,"",VLOOKUP($A236,PRIORIDAD_UNO[[Nombre del requerimiento]:[Fin Producción]],17,FALSE)),"")</f>
        <v/>
      </c>
      <c r="F236" s="65"/>
      <c r="G236" s="65" t="str">
        <f>IFERROR(VLOOKUP($A236,PRIORIDAD_UNO[[Nombre del requerimiento]:[Fin Producción]],18,FALSE),"")</f>
        <v/>
      </c>
      <c r="H236" s="65"/>
      <c r="I236" s="65" t="str">
        <f>IFERROR(VLOOKUP($A236,PRIORIDAD_UNO[[Nombre del requerimiento]:[Fin Producción]],19,FALSE),"")</f>
        <v/>
      </c>
      <c r="J236" s="65"/>
      <c r="K236" s="65" t="str">
        <f>IFERROR(VLOOKUP($A236,PRIORIDAD_UNO[[Nombre del requerimiento]:[Fin Producción]],20,FALSE),"")</f>
        <v/>
      </c>
      <c r="L236" s="65"/>
      <c r="M236" s="65" t="str">
        <f>IFERROR(VLOOKUP($A236,PRIORIDAD_UNO[[Nombre del requerimiento]:[Fin Producción]],21,FALSE),"")</f>
        <v/>
      </c>
      <c r="N236" s="65"/>
    </row>
    <row r="237" spans="1:14">
      <c r="A237" s="70"/>
      <c r="B237" s="64" t="str">
        <f>IFERROR(
VLOOKUP(A237,PRIORIDAD_UNO[[Nombre del requerimiento]:[Tamaño]],5,FALSE),"")</f>
        <v/>
      </c>
      <c r="C237" s="65"/>
      <c r="D237" s="66" t="str">
        <f>IF(ISBLANK(A237),"",
IFERROR(IF(VLOOKUP($A237,PRIORIDAD_UNO[[Nombre del requerimiento]:[Fin Producción]],6,FALSE)=0,"",VLOOKUP($A237,PRIORIDAD_UNO[[Nombre del requerimiento]:[Fin Producción]],6,FALSE)),"No está en hoja Prioridad 1"))</f>
        <v/>
      </c>
      <c r="E237" s="65" t="str">
        <f>IFERROR(IF(VLOOKUP($A237,PRIORIDAD_UNO[[Nombre del requerimiento]:[Fin Producción]],17,FALSE)=0,"",VLOOKUP($A237,PRIORIDAD_UNO[[Nombre del requerimiento]:[Fin Producción]],17,FALSE)),"")</f>
        <v/>
      </c>
      <c r="F237" s="65"/>
      <c r="G237" s="65" t="str">
        <f>IFERROR(VLOOKUP($A237,PRIORIDAD_UNO[[Nombre del requerimiento]:[Fin Producción]],18,FALSE),"")</f>
        <v/>
      </c>
      <c r="H237" s="65"/>
      <c r="I237" s="65" t="str">
        <f>IFERROR(VLOOKUP($A237,PRIORIDAD_UNO[[Nombre del requerimiento]:[Fin Producción]],19,FALSE),"")</f>
        <v/>
      </c>
      <c r="J237" s="65"/>
      <c r="K237" s="65" t="str">
        <f>IFERROR(VLOOKUP($A237,PRIORIDAD_UNO[[Nombre del requerimiento]:[Fin Producción]],20,FALSE),"")</f>
        <v/>
      </c>
      <c r="L237" s="65"/>
      <c r="M237" s="65" t="str">
        <f>IFERROR(VLOOKUP($A237,PRIORIDAD_UNO[[Nombre del requerimiento]:[Fin Producción]],21,FALSE),"")</f>
        <v/>
      </c>
      <c r="N237" s="65"/>
    </row>
    <row r="238" spans="1:14">
      <c r="A238" s="70"/>
      <c r="B238" s="64" t="str">
        <f>IFERROR(
VLOOKUP(A238,PRIORIDAD_UNO[[Nombre del requerimiento]:[Tamaño]],5,FALSE),"")</f>
        <v/>
      </c>
      <c r="C238" s="65"/>
      <c r="D238" s="66" t="str">
        <f>IF(ISBLANK(A238),"",
IFERROR(IF(VLOOKUP($A238,PRIORIDAD_UNO[[Nombre del requerimiento]:[Fin Producción]],6,FALSE)=0,"",VLOOKUP($A238,PRIORIDAD_UNO[[Nombre del requerimiento]:[Fin Producción]],6,FALSE)),"No está en hoja Prioridad 1"))</f>
        <v/>
      </c>
      <c r="E238" s="65" t="str">
        <f>IFERROR(IF(VLOOKUP($A238,PRIORIDAD_UNO[[Nombre del requerimiento]:[Fin Producción]],17,FALSE)=0,"",VLOOKUP($A238,PRIORIDAD_UNO[[Nombre del requerimiento]:[Fin Producción]],17,FALSE)),"")</f>
        <v/>
      </c>
      <c r="F238" s="65"/>
      <c r="G238" s="65" t="str">
        <f>IFERROR(VLOOKUP($A238,PRIORIDAD_UNO[[Nombre del requerimiento]:[Fin Producción]],18,FALSE),"")</f>
        <v/>
      </c>
      <c r="H238" s="65"/>
      <c r="I238" s="65" t="str">
        <f>IFERROR(VLOOKUP($A238,PRIORIDAD_UNO[[Nombre del requerimiento]:[Fin Producción]],19,FALSE),"")</f>
        <v/>
      </c>
      <c r="J238" s="65"/>
      <c r="K238" s="65" t="str">
        <f>IFERROR(VLOOKUP($A238,PRIORIDAD_UNO[[Nombre del requerimiento]:[Fin Producción]],20,FALSE),"")</f>
        <v/>
      </c>
      <c r="L238" s="65"/>
      <c r="M238" s="65" t="str">
        <f>IFERROR(VLOOKUP($A238,PRIORIDAD_UNO[[Nombre del requerimiento]:[Fin Producción]],21,FALSE),"")</f>
        <v/>
      </c>
      <c r="N238" s="65"/>
    </row>
  </sheetData>
  <sheetProtection formatCells="0" formatColumns="0" formatRows="0" insertRows="0" insertHyperlinks="0" deleteRows="0" sort="0" autoFilter="0"/>
  <autoFilter ref="A1:N238" xr:uid="{00000000-0009-0000-0000-000002000000}"/>
  <dataValidations count="8">
    <dataValidation type="custom" allowBlank="1" showInputMessage="1" showErrorMessage="1" sqref="F1" xr:uid="{00000000-0002-0000-0200-000001000000}">
      <formula1>"F2&gt;=E2"</formula1>
    </dataValidation>
    <dataValidation allowBlank="1" showInputMessage="1" showErrorMessage="1" sqref="G1:I1" xr:uid="{00000000-0002-0000-0200-000003000000}"/>
    <dataValidation type="custom" allowBlank="1" showInputMessage="1" showErrorMessage="1" error="Fin Desarrollo no puede ser anterior a Comienzo Desarrollo" sqref="F2:F1048576" xr:uid="{00000000-0002-0000-0200-000004000000}">
      <formula1>F2&gt;=E2</formula1>
    </dataValidation>
    <dataValidation type="custom" allowBlank="1" showInputMessage="1" showErrorMessage="1" error="Comienzo Calidad no puede ser anterior a Fin Desarrollo" sqref="H2:H1048576" xr:uid="{00000000-0002-0000-0200-000005000000}">
      <formula1>H2&gt;=G2</formula1>
    </dataValidation>
    <dataValidation type="custom" allowBlank="1" showInputMessage="1" showErrorMessage="1" error="Fin Calidad no puede ser anterior a Comienzo Calidad" sqref="J2:J1048576" xr:uid="{00000000-0002-0000-0200-000006000000}">
      <formula1>J2&gt;=I2</formula1>
    </dataValidation>
    <dataValidation type="custom" allowBlank="1" showInputMessage="1" showErrorMessage="1" error="Comienzo Producción no puede ser anterior a Fin Calidad" sqref="L2:L1048576" xr:uid="{00000000-0002-0000-0200-000007000000}">
      <formula1>L2&gt;=K2</formula1>
    </dataValidation>
    <dataValidation type="custom" allowBlank="1" showInputMessage="1" showErrorMessage="1" error="Fin Producción no puede ser anterior a Comienzo Producción" sqref="N2:N1048576" xr:uid="{00000000-0002-0000-0200-000008000000}">
      <formula1>N2&gt;=M2</formula1>
    </dataValidation>
    <dataValidation type="custom" allowBlank="1" showInputMessage="1" showErrorMessage="1" sqref="B1:E1048576" xr:uid="{91AA4A3E-C963-4F01-BD7A-EF713844C17F}">
      <formula1>FALSE</formula1>
    </dataValidation>
  </dataValidations>
  <pageMargins left="0.7" right="0.7" top="0.75" bottom="0.75" header="0.3" footer="0.3"/>
  <ignoredErrors>
    <ignoredError sqref="G239:G1048576 I239:I1048576 K239:K1048576 M239:M1048576 E239:E1048576"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7ABF7-E557-4B9C-8558-9CB90A901FF4}">
  <sheetPr>
    <tabColor rgb="FF92D050"/>
  </sheetPr>
  <dimension ref="B3:I103"/>
  <sheetViews>
    <sheetView topLeftCell="A58" workbookViewId="0">
      <selection activeCell="D103" sqref="D103"/>
    </sheetView>
  </sheetViews>
  <sheetFormatPr baseColWidth="10" defaultColWidth="9.109375" defaultRowHeight="14.4"/>
  <cols>
    <col min="2" max="2" width="34" bestFit="1" customWidth="1"/>
    <col min="3" max="4" width="16.88671875" bestFit="1" customWidth="1"/>
    <col min="5" max="5" width="12.21875" bestFit="1" customWidth="1"/>
    <col min="6" max="8" width="14.6640625" bestFit="1" customWidth="1"/>
    <col min="9" max="9" width="12.21875" bestFit="1" customWidth="1"/>
    <col min="10" max="10" width="10.5546875" bestFit="1" customWidth="1"/>
    <col min="11" max="13" width="11.6640625" bestFit="1" customWidth="1"/>
    <col min="14" max="14" width="10.5546875" bestFit="1" customWidth="1"/>
    <col min="15" max="15" width="11.6640625" bestFit="1" customWidth="1"/>
    <col min="16" max="22" width="10.5546875" bestFit="1" customWidth="1"/>
    <col min="23" max="23" width="11.6640625" bestFit="1" customWidth="1"/>
    <col min="24" max="26" width="10.5546875" bestFit="1" customWidth="1"/>
    <col min="27" max="27" width="11.109375" bestFit="1" customWidth="1"/>
    <col min="28" max="28" width="12.88671875" bestFit="1" customWidth="1"/>
  </cols>
  <sheetData>
    <row r="3" spans="2:3" s="17" customFormat="1">
      <c r="B3" s="18" t="s">
        <v>483</v>
      </c>
    </row>
    <row r="6" spans="2:3">
      <c r="B6" s="2" t="s">
        <v>6</v>
      </c>
      <c r="C6" t="s">
        <v>484</v>
      </c>
    </row>
    <row r="7" spans="2:3">
      <c r="B7" t="s">
        <v>31</v>
      </c>
      <c r="C7" s="286">
        <v>51</v>
      </c>
    </row>
    <row r="8" spans="2:3">
      <c r="B8" t="s">
        <v>65</v>
      </c>
      <c r="C8" s="286">
        <v>6</v>
      </c>
    </row>
    <row r="9" spans="2:3">
      <c r="B9" t="s">
        <v>71</v>
      </c>
      <c r="C9" s="286">
        <v>1</v>
      </c>
    </row>
    <row r="10" spans="2:3">
      <c r="B10" t="s">
        <v>66</v>
      </c>
      <c r="C10" s="286">
        <v>42</v>
      </c>
    </row>
    <row r="11" spans="2:3">
      <c r="B11" t="s">
        <v>67</v>
      </c>
      <c r="C11" s="286">
        <v>2</v>
      </c>
    </row>
    <row r="12" spans="2:3">
      <c r="B12" t="s">
        <v>68</v>
      </c>
      <c r="C12" s="286">
        <v>16</v>
      </c>
    </row>
    <row r="13" spans="2:3">
      <c r="B13" t="s">
        <v>69</v>
      </c>
      <c r="C13" s="286">
        <v>2</v>
      </c>
    </row>
    <row r="14" spans="2:3">
      <c r="B14" t="s">
        <v>70</v>
      </c>
      <c r="C14" s="286">
        <v>6</v>
      </c>
    </row>
    <row r="15" spans="2:3">
      <c r="B15" t="s">
        <v>72</v>
      </c>
      <c r="C15" s="286">
        <v>2</v>
      </c>
    </row>
    <row r="16" spans="2:3">
      <c r="B16" t="s">
        <v>61</v>
      </c>
      <c r="C16" s="286">
        <v>128</v>
      </c>
    </row>
    <row r="20" spans="2:5">
      <c r="B20" s="2" t="s">
        <v>11</v>
      </c>
      <c r="C20" t="s">
        <v>485</v>
      </c>
    </row>
    <row r="22" spans="2:5">
      <c r="B22" s="2" t="s">
        <v>82</v>
      </c>
      <c r="C22" s="2" t="s">
        <v>24</v>
      </c>
    </row>
    <row r="23" spans="2:5">
      <c r="B23" s="2" t="s">
        <v>6</v>
      </c>
      <c r="C23" t="s">
        <v>41</v>
      </c>
      <c r="D23" t="s">
        <v>486</v>
      </c>
      <c r="E23" t="s">
        <v>61</v>
      </c>
    </row>
    <row r="24" spans="2:5">
      <c r="B24" t="s">
        <v>31</v>
      </c>
      <c r="C24" s="286">
        <v>15</v>
      </c>
      <c r="D24" s="286">
        <v>1</v>
      </c>
      <c r="E24" s="286">
        <v>16</v>
      </c>
    </row>
    <row r="25" spans="2:5">
      <c r="B25" t="s">
        <v>65</v>
      </c>
      <c r="C25" s="286">
        <v>5</v>
      </c>
      <c r="D25" s="286"/>
      <c r="E25" s="286">
        <v>5</v>
      </c>
    </row>
    <row r="26" spans="2:5">
      <c r="B26" t="s">
        <v>66</v>
      </c>
      <c r="C26" s="286">
        <v>23</v>
      </c>
      <c r="D26" s="286">
        <v>2</v>
      </c>
      <c r="E26" s="286">
        <v>25</v>
      </c>
    </row>
    <row r="27" spans="2:5">
      <c r="B27" t="s">
        <v>68</v>
      </c>
      <c r="C27" s="286">
        <v>8</v>
      </c>
      <c r="D27" s="286">
        <v>2</v>
      </c>
      <c r="E27" s="286">
        <v>10</v>
      </c>
    </row>
    <row r="28" spans="2:5">
      <c r="B28" t="s">
        <v>69</v>
      </c>
      <c r="C28" s="286">
        <v>1</v>
      </c>
      <c r="D28" s="286"/>
      <c r="E28" s="286">
        <v>1</v>
      </c>
    </row>
    <row r="29" spans="2:5">
      <c r="B29" t="s">
        <v>70</v>
      </c>
      <c r="C29" s="286">
        <v>4</v>
      </c>
      <c r="D29" s="286">
        <v>2</v>
      </c>
      <c r="E29" s="286">
        <v>6</v>
      </c>
    </row>
    <row r="30" spans="2:5">
      <c r="B30" t="s">
        <v>71</v>
      </c>
      <c r="C30" s="286">
        <v>1</v>
      </c>
      <c r="D30" s="286"/>
      <c r="E30" s="286">
        <v>1</v>
      </c>
    </row>
    <row r="31" spans="2:5">
      <c r="B31" t="s">
        <v>72</v>
      </c>
      <c r="C31" s="286">
        <v>1</v>
      </c>
      <c r="D31" s="286"/>
      <c r="E31" s="286">
        <v>1</v>
      </c>
    </row>
    <row r="32" spans="2:5">
      <c r="B32" t="s">
        <v>61</v>
      </c>
      <c r="C32" s="286">
        <v>58</v>
      </c>
      <c r="D32" s="286">
        <v>7</v>
      </c>
      <c r="E32" s="286">
        <v>65</v>
      </c>
    </row>
    <row r="38" spans="2:7">
      <c r="B38" s="2" t="s">
        <v>82</v>
      </c>
      <c r="C38" s="2" t="s">
        <v>26</v>
      </c>
    </row>
    <row r="39" spans="2:7">
      <c r="B39" s="2" t="s">
        <v>6</v>
      </c>
      <c r="C39" t="s">
        <v>487</v>
      </c>
      <c r="D39" t="s">
        <v>488</v>
      </c>
      <c r="E39" t="s">
        <v>43</v>
      </c>
      <c r="F39" t="s">
        <v>489</v>
      </c>
      <c r="G39" t="s">
        <v>61</v>
      </c>
    </row>
    <row r="40" spans="2:7">
      <c r="B40" t="s">
        <v>72</v>
      </c>
      <c r="C40" s="286"/>
      <c r="D40" s="286"/>
      <c r="E40" s="286">
        <v>2</v>
      </c>
      <c r="F40" s="286"/>
      <c r="G40" s="286">
        <v>2</v>
      </c>
    </row>
    <row r="41" spans="2:7">
      <c r="B41" t="s">
        <v>31</v>
      </c>
      <c r="C41" s="286">
        <v>6</v>
      </c>
      <c r="D41" s="286">
        <v>5</v>
      </c>
      <c r="E41" s="286">
        <v>40</v>
      </c>
      <c r="F41" s="286"/>
      <c r="G41" s="286">
        <v>51</v>
      </c>
    </row>
    <row r="42" spans="2:7">
      <c r="B42" t="s">
        <v>65</v>
      </c>
      <c r="C42" s="286">
        <v>1</v>
      </c>
      <c r="D42" s="286"/>
      <c r="E42" s="286">
        <v>5</v>
      </c>
      <c r="F42" s="286"/>
      <c r="G42" s="286">
        <v>6</v>
      </c>
    </row>
    <row r="43" spans="2:7">
      <c r="B43" t="s">
        <v>71</v>
      </c>
      <c r="C43" s="286"/>
      <c r="D43" s="286"/>
      <c r="E43" s="286">
        <v>1</v>
      </c>
      <c r="F43" s="286"/>
      <c r="G43" s="286">
        <v>1</v>
      </c>
    </row>
    <row r="44" spans="2:7">
      <c r="B44" t="s">
        <v>66</v>
      </c>
      <c r="C44" s="286">
        <v>3</v>
      </c>
      <c r="D44" s="286">
        <v>6</v>
      </c>
      <c r="E44" s="286">
        <v>31</v>
      </c>
      <c r="F44" s="286">
        <v>2</v>
      </c>
      <c r="G44" s="286">
        <v>42</v>
      </c>
    </row>
    <row r="45" spans="2:7">
      <c r="B45" t="s">
        <v>67</v>
      </c>
      <c r="C45" s="286"/>
      <c r="D45" s="286"/>
      <c r="E45" s="286">
        <v>2</v>
      </c>
      <c r="F45" s="286"/>
      <c r="G45" s="286">
        <v>2</v>
      </c>
    </row>
    <row r="46" spans="2:7">
      <c r="B46" t="s">
        <v>68</v>
      </c>
      <c r="C46" s="286"/>
      <c r="D46" s="286">
        <v>2</v>
      </c>
      <c r="E46" s="286">
        <v>14</v>
      </c>
      <c r="F46" s="286"/>
      <c r="G46" s="286">
        <v>16</v>
      </c>
    </row>
    <row r="47" spans="2:7">
      <c r="B47" t="s">
        <v>69</v>
      </c>
      <c r="C47" s="286"/>
      <c r="D47" s="286"/>
      <c r="E47" s="286">
        <v>2</v>
      </c>
      <c r="F47" s="286"/>
      <c r="G47" s="286">
        <v>2</v>
      </c>
    </row>
    <row r="48" spans="2:7">
      <c r="B48" t="s">
        <v>70</v>
      </c>
      <c r="C48" s="286"/>
      <c r="D48" s="286">
        <v>2</v>
      </c>
      <c r="E48" s="286">
        <v>4</v>
      </c>
      <c r="F48" s="286"/>
      <c r="G48" s="286">
        <v>6</v>
      </c>
    </row>
    <row r="49" spans="2:7">
      <c r="B49" t="s">
        <v>61</v>
      </c>
      <c r="C49" s="286">
        <v>10</v>
      </c>
      <c r="D49" s="286">
        <v>15</v>
      </c>
      <c r="E49" s="286">
        <v>101</v>
      </c>
      <c r="F49" s="286">
        <v>2</v>
      </c>
      <c r="G49" s="286">
        <v>128</v>
      </c>
    </row>
    <row r="55" spans="2:7">
      <c r="B55" s="2" t="s">
        <v>82</v>
      </c>
      <c r="C55" s="2" t="s">
        <v>25</v>
      </c>
    </row>
    <row r="56" spans="2:7">
      <c r="B56" s="2" t="s">
        <v>6</v>
      </c>
      <c r="C56" t="s">
        <v>42</v>
      </c>
      <c r="D56" t="s">
        <v>490</v>
      </c>
      <c r="E56" t="s">
        <v>61</v>
      </c>
    </row>
    <row r="57" spans="2:7">
      <c r="B57" t="s">
        <v>72</v>
      </c>
      <c r="C57" s="286">
        <v>2</v>
      </c>
      <c r="D57" s="286"/>
      <c r="E57" s="286">
        <v>2</v>
      </c>
    </row>
    <row r="58" spans="2:7">
      <c r="B58" t="s">
        <v>31</v>
      </c>
      <c r="C58" s="286">
        <v>51</v>
      </c>
      <c r="D58" s="286"/>
      <c r="E58" s="286">
        <v>51</v>
      </c>
    </row>
    <row r="59" spans="2:7">
      <c r="B59" t="s">
        <v>65</v>
      </c>
      <c r="C59" s="286">
        <v>6</v>
      </c>
      <c r="D59" s="286"/>
      <c r="E59" s="286">
        <v>6</v>
      </c>
    </row>
    <row r="60" spans="2:7">
      <c r="B60" t="s">
        <v>71</v>
      </c>
      <c r="C60" s="286">
        <v>1</v>
      </c>
      <c r="D60" s="286"/>
      <c r="E60" s="286">
        <v>1</v>
      </c>
    </row>
    <row r="61" spans="2:7">
      <c r="B61" t="s">
        <v>66</v>
      </c>
      <c r="C61" s="286">
        <v>36</v>
      </c>
      <c r="D61" s="286">
        <v>6</v>
      </c>
      <c r="E61" s="286">
        <v>42</v>
      </c>
    </row>
    <row r="62" spans="2:7">
      <c r="B62" t="s">
        <v>67</v>
      </c>
      <c r="C62" s="286">
        <v>2</v>
      </c>
      <c r="D62" s="286"/>
      <c r="E62" s="286">
        <v>2</v>
      </c>
    </row>
    <row r="63" spans="2:7">
      <c r="B63" t="s">
        <v>68</v>
      </c>
      <c r="C63" s="286">
        <v>16</v>
      </c>
      <c r="D63" s="286"/>
      <c r="E63" s="286">
        <v>16</v>
      </c>
    </row>
    <row r="64" spans="2:7">
      <c r="B64" t="s">
        <v>69</v>
      </c>
      <c r="C64" s="286">
        <v>2</v>
      </c>
      <c r="D64" s="286"/>
      <c r="E64" s="286">
        <v>2</v>
      </c>
    </row>
    <row r="65" spans="2:5">
      <c r="B65" t="s">
        <v>70</v>
      </c>
      <c r="C65" s="286">
        <v>6</v>
      </c>
      <c r="D65" s="286"/>
      <c r="E65" s="286">
        <v>6</v>
      </c>
    </row>
    <row r="66" spans="2:5">
      <c r="B66" t="s">
        <v>61</v>
      </c>
      <c r="C66" s="286">
        <v>122</v>
      </c>
      <c r="D66" s="286">
        <v>6</v>
      </c>
      <c r="E66" s="286">
        <v>128</v>
      </c>
    </row>
    <row r="71" spans="2:5">
      <c r="B71" s="2" t="s">
        <v>25</v>
      </c>
      <c r="C71" t="s">
        <v>42</v>
      </c>
    </row>
    <row r="73" spans="2:5">
      <c r="B73" s="2" t="s">
        <v>82</v>
      </c>
      <c r="C73" s="2" t="s">
        <v>24</v>
      </c>
    </row>
    <row r="74" spans="2:5">
      <c r="B74" s="2" t="s">
        <v>6</v>
      </c>
      <c r="C74" t="s">
        <v>41</v>
      </c>
      <c r="D74" t="s">
        <v>486</v>
      </c>
      <c r="E74" t="s">
        <v>61</v>
      </c>
    </row>
    <row r="75" spans="2:5">
      <c r="B75" t="s">
        <v>72</v>
      </c>
      <c r="C75" s="286">
        <v>2</v>
      </c>
      <c r="D75" s="286"/>
      <c r="E75" s="286">
        <v>2</v>
      </c>
    </row>
    <row r="76" spans="2:5">
      <c r="B76" t="s">
        <v>31</v>
      </c>
      <c r="C76" s="286">
        <v>46</v>
      </c>
      <c r="D76" s="286">
        <v>5</v>
      </c>
      <c r="E76" s="286">
        <v>51</v>
      </c>
    </row>
    <row r="77" spans="2:5">
      <c r="B77" t="s">
        <v>65</v>
      </c>
      <c r="C77" s="286">
        <v>6</v>
      </c>
      <c r="D77" s="286"/>
      <c r="E77" s="286">
        <v>6</v>
      </c>
    </row>
    <row r="78" spans="2:5">
      <c r="B78" t="s">
        <v>71</v>
      </c>
      <c r="C78" s="286">
        <v>1</v>
      </c>
      <c r="D78" s="286"/>
      <c r="E78" s="286">
        <v>1</v>
      </c>
    </row>
    <row r="79" spans="2:5">
      <c r="B79" t="s">
        <v>66</v>
      </c>
      <c r="C79" s="286">
        <v>36</v>
      </c>
      <c r="D79" s="286"/>
      <c r="E79" s="286">
        <v>36</v>
      </c>
    </row>
    <row r="80" spans="2:5">
      <c r="B80" t="s">
        <v>67</v>
      </c>
      <c r="C80" s="286">
        <v>2</v>
      </c>
      <c r="D80" s="286"/>
      <c r="E80" s="286">
        <v>2</v>
      </c>
    </row>
    <row r="81" spans="2:9">
      <c r="B81" t="s">
        <v>68</v>
      </c>
      <c r="C81" s="286">
        <v>14</v>
      </c>
      <c r="D81" s="286">
        <v>2</v>
      </c>
      <c r="E81" s="286">
        <v>16</v>
      </c>
    </row>
    <row r="82" spans="2:9">
      <c r="B82" t="s">
        <v>69</v>
      </c>
      <c r="C82" s="286">
        <v>2</v>
      </c>
      <c r="D82" s="286"/>
      <c r="E82" s="286">
        <v>2</v>
      </c>
    </row>
    <row r="83" spans="2:9">
      <c r="B83" t="s">
        <v>70</v>
      </c>
      <c r="C83" s="286">
        <v>4</v>
      </c>
      <c r="D83" s="286">
        <v>2</v>
      </c>
      <c r="E83" s="286">
        <v>6</v>
      </c>
    </row>
    <row r="84" spans="2:9">
      <c r="B84" t="s">
        <v>61</v>
      </c>
      <c r="C84" s="286">
        <v>113</v>
      </c>
      <c r="D84" s="286">
        <v>9</v>
      </c>
      <c r="E84" s="286">
        <v>122</v>
      </c>
    </row>
    <row r="89" spans="2:9">
      <c r="B89" s="2" t="s">
        <v>82</v>
      </c>
      <c r="C89" s="2" t="s">
        <v>26</v>
      </c>
    </row>
    <row r="90" spans="2:9">
      <c r="B90" s="2" t="s">
        <v>5</v>
      </c>
      <c r="C90" t="s">
        <v>487</v>
      </c>
      <c r="D90" t="s">
        <v>488</v>
      </c>
      <c r="E90" t="s">
        <v>489</v>
      </c>
      <c r="F90" t="s">
        <v>43</v>
      </c>
      <c r="G90" t="s">
        <v>61</v>
      </c>
    </row>
    <row r="91" spans="2:9">
      <c r="B91" t="s">
        <v>76</v>
      </c>
      <c r="C91" s="286"/>
      <c r="D91" s="286"/>
      <c r="E91" s="286"/>
      <c r="F91" s="286">
        <v>11</v>
      </c>
      <c r="G91" s="286">
        <v>11</v>
      </c>
    </row>
    <row r="92" spans="2:9">
      <c r="B92" t="s">
        <v>47</v>
      </c>
      <c r="C92" s="286">
        <v>2</v>
      </c>
      <c r="D92" s="286"/>
      <c r="E92" s="286"/>
      <c r="F92" s="286">
        <v>19</v>
      </c>
      <c r="G92" s="286">
        <v>21</v>
      </c>
    </row>
    <row r="93" spans="2:9">
      <c r="B93" t="s">
        <v>30</v>
      </c>
      <c r="C93" s="286">
        <v>2</v>
      </c>
      <c r="D93" s="286">
        <v>2</v>
      </c>
      <c r="E93" s="286">
        <v>2</v>
      </c>
      <c r="F93" s="286">
        <v>62</v>
      </c>
      <c r="G93" s="286">
        <v>68</v>
      </c>
    </row>
    <row r="94" spans="2:9">
      <c r="B94" t="s">
        <v>75</v>
      </c>
      <c r="C94" s="286"/>
      <c r="D94" s="286">
        <v>12</v>
      </c>
      <c r="E94" s="286"/>
      <c r="F94" s="286"/>
      <c r="G94" s="286">
        <v>12</v>
      </c>
    </row>
    <row r="95" spans="2:9">
      <c r="B95" t="s">
        <v>74</v>
      </c>
      <c r="C95" s="286">
        <v>6</v>
      </c>
      <c r="D95" s="286">
        <v>1</v>
      </c>
      <c r="E95" s="286"/>
      <c r="F95" s="286">
        <v>7</v>
      </c>
      <c r="G95" s="286">
        <v>14</v>
      </c>
      <c r="I95" t="s">
        <v>491</v>
      </c>
    </row>
    <row r="96" spans="2:9">
      <c r="B96" t="s">
        <v>77</v>
      </c>
      <c r="C96" s="286"/>
      <c r="D96" s="286"/>
      <c r="E96" s="286"/>
      <c r="F96" s="286">
        <v>2</v>
      </c>
      <c r="G96" s="286">
        <v>2</v>
      </c>
    </row>
    <row r="97" spans="2:9">
      <c r="B97" t="s">
        <v>61</v>
      </c>
      <c r="C97" s="286">
        <v>10</v>
      </c>
      <c r="D97" s="286">
        <v>15</v>
      </c>
      <c r="E97" s="286">
        <v>2</v>
      </c>
      <c r="F97" s="286">
        <v>101</v>
      </c>
      <c r="G97" s="286">
        <v>128</v>
      </c>
    </row>
    <row r="101" spans="2:9">
      <c r="C101" s="2" t="s">
        <v>11</v>
      </c>
    </row>
    <row r="102" spans="2:9">
      <c r="C102" t="s">
        <v>62</v>
      </c>
      <c r="D102" t="s">
        <v>54</v>
      </c>
      <c r="E102" t="s">
        <v>49</v>
      </c>
      <c r="F102" t="s">
        <v>63</v>
      </c>
      <c r="G102" t="s">
        <v>36</v>
      </c>
      <c r="H102" t="s">
        <v>64</v>
      </c>
      <c r="I102" t="s">
        <v>61</v>
      </c>
    </row>
    <row r="103" spans="2:9">
      <c r="B103" t="s">
        <v>82</v>
      </c>
      <c r="C103" s="286">
        <v>8</v>
      </c>
      <c r="D103" s="286">
        <v>38</v>
      </c>
      <c r="E103" s="286">
        <v>16</v>
      </c>
      <c r="F103" s="286">
        <v>23</v>
      </c>
      <c r="G103" s="286">
        <v>42</v>
      </c>
      <c r="H103" s="286">
        <v>1</v>
      </c>
      <c r="I103" s="286">
        <v>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ACAD9"/>
  </sheetPr>
  <dimension ref="A1:BP205"/>
  <sheetViews>
    <sheetView showGridLines="0" topLeftCell="J1" zoomScale="77" zoomScaleNormal="77" workbookViewId="0">
      <pane ySplit="4" topLeftCell="A10" activePane="bottomLeft" state="frozen"/>
      <selection pane="bottomLeft" activeCell="G4" sqref="G4"/>
    </sheetView>
  </sheetViews>
  <sheetFormatPr baseColWidth="10" defaultColWidth="11.44140625" defaultRowHeight="14.4"/>
  <cols>
    <col min="1" max="1" width="80.88671875" style="104" bestFit="1" customWidth="1"/>
    <col min="2" max="2" width="32.109375" style="104" bestFit="1" customWidth="1"/>
    <col min="3" max="3" width="14.6640625" style="193" bestFit="1" customWidth="1"/>
    <col min="4" max="4" width="22.88671875" style="193" bestFit="1" customWidth="1"/>
    <col min="5" max="5" width="13.44140625" style="104" bestFit="1" customWidth="1"/>
    <col min="6" max="6" width="14.88671875" style="104" bestFit="1" customWidth="1"/>
    <col min="7" max="7" width="33.21875" style="104" bestFit="1" customWidth="1"/>
    <col min="8" max="8" width="23.21875" style="104" bestFit="1" customWidth="1"/>
    <col min="9" max="9" width="39.44140625" style="104" bestFit="1" customWidth="1"/>
    <col min="10" max="10" width="18.88671875" style="104" bestFit="1" customWidth="1"/>
    <col min="11" max="11" width="24.44140625" style="193" bestFit="1" customWidth="1"/>
    <col min="12" max="12" width="19.44140625" style="193" bestFit="1" customWidth="1"/>
    <col min="13" max="13" width="19" style="104" bestFit="1" customWidth="1"/>
    <col min="14" max="14" width="12.77734375" style="104" bestFit="1" customWidth="1"/>
    <col min="15" max="36" width="4.5546875" style="104" customWidth="1"/>
    <col min="37" max="37" width="0.6640625" style="104" customWidth="1"/>
    <col min="38" max="16384" width="11.44140625" style="104"/>
  </cols>
  <sheetData>
    <row r="1" spans="1:68">
      <c r="A1" s="187"/>
      <c r="B1" s="187"/>
      <c r="C1" s="191"/>
      <c r="D1" s="191"/>
      <c r="E1" s="187"/>
      <c r="F1" s="187"/>
      <c r="G1" s="187"/>
      <c r="H1" s="187"/>
      <c r="I1" s="187"/>
      <c r="J1" s="187"/>
      <c r="K1" s="191"/>
      <c r="L1" s="191"/>
      <c r="M1" s="187"/>
      <c r="N1" s="187"/>
      <c r="O1" s="187"/>
      <c r="P1" s="187"/>
      <c r="Q1" s="187"/>
      <c r="R1" s="187"/>
      <c r="S1" s="187"/>
      <c r="T1" s="187"/>
      <c r="U1" s="187"/>
      <c r="V1" s="187"/>
      <c r="W1" s="187"/>
      <c r="X1" s="187"/>
      <c r="Y1" s="187"/>
      <c r="Z1" s="187"/>
      <c r="AA1" s="187"/>
      <c r="AB1" s="187"/>
      <c r="AC1" s="187"/>
      <c r="AD1" s="187"/>
      <c r="AE1" s="187"/>
      <c r="AF1" s="187"/>
      <c r="AG1" s="187"/>
      <c r="AH1" s="187"/>
      <c r="AI1" s="187"/>
      <c r="AJ1" s="187"/>
      <c r="AK1" s="187"/>
      <c r="AL1" s="187"/>
      <c r="AM1" s="187"/>
      <c r="AN1" s="187"/>
      <c r="AO1" s="187"/>
      <c r="AP1" s="187"/>
      <c r="AQ1" s="187"/>
      <c r="AR1" s="187"/>
      <c r="AS1" s="187"/>
      <c r="AT1" s="187"/>
      <c r="AU1" s="187"/>
      <c r="AV1" s="187"/>
      <c r="AW1" s="187"/>
      <c r="AX1" s="187"/>
      <c r="AY1" s="187"/>
      <c r="AZ1" s="187"/>
      <c r="BA1" s="187"/>
      <c r="BB1" s="187"/>
      <c r="BC1" s="187"/>
      <c r="BD1" s="187"/>
      <c r="BE1" s="187"/>
      <c r="BF1" s="187"/>
      <c r="BG1" s="187"/>
      <c r="BH1" s="187"/>
      <c r="BI1" s="187"/>
      <c r="BJ1" s="187"/>
      <c r="BK1" s="187"/>
      <c r="BL1" s="187"/>
      <c r="BM1" s="187"/>
      <c r="BN1" s="187"/>
      <c r="BO1" s="187"/>
      <c r="BP1" s="187"/>
    </row>
    <row r="2" spans="1:68">
      <c r="A2" s="262" t="str">
        <f>CONCATENATE("Mandatorio = ",Informe!E103, " | Recomendación = ",Informe!G103, " | Normativo = ", Informe!F103, " | Correctivo = ",Informe!C103, " | Evolutivo = ",Informe!D103)</f>
        <v>Mandatorio = 16 | Recomendación = 42 | Normativo = 23 | Correctivo = 8 | Evolutivo = 38</v>
      </c>
      <c r="B2" s="262"/>
      <c r="C2" s="262"/>
      <c r="D2" s="191"/>
      <c r="E2" s="187"/>
      <c r="F2" s="187"/>
      <c r="G2" s="187"/>
      <c r="H2" s="187"/>
      <c r="I2" s="187"/>
      <c r="J2" s="187"/>
      <c r="K2" s="191"/>
      <c r="L2" s="191"/>
      <c r="M2" s="187"/>
      <c r="N2" s="187"/>
      <c r="O2" s="187"/>
      <c r="P2" s="187"/>
      <c r="Q2" s="187"/>
      <c r="R2" s="187"/>
      <c r="S2" s="187"/>
      <c r="T2" s="187"/>
      <c r="U2" s="187"/>
      <c r="V2" s="187"/>
      <c r="W2" s="187"/>
      <c r="X2" s="187"/>
      <c r="Y2" s="187"/>
      <c r="Z2" s="187"/>
      <c r="AA2" s="187"/>
      <c r="AB2" s="187"/>
      <c r="AC2" s="187"/>
      <c r="AD2" s="187"/>
      <c r="AE2" s="187"/>
      <c r="AF2" s="187"/>
      <c r="AG2" s="187"/>
      <c r="AH2" s="187"/>
      <c r="AI2" s="187"/>
      <c r="AJ2" s="187"/>
      <c r="AK2" s="187"/>
      <c r="AL2" s="187"/>
      <c r="AM2" s="187"/>
      <c r="AN2" s="187"/>
      <c r="AO2" s="187"/>
      <c r="AP2" s="187"/>
      <c r="AQ2" s="187"/>
      <c r="AR2" s="187"/>
      <c r="AS2" s="187"/>
      <c r="AT2" s="187"/>
      <c r="AU2" s="187"/>
      <c r="AV2" s="187"/>
      <c r="AW2" s="187"/>
      <c r="AX2" s="187"/>
      <c r="AY2" s="187"/>
      <c r="AZ2" s="187"/>
      <c r="BA2" s="187"/>
      <c r="BB2" s="187"/>
      <c r="BC2" s="187"/>
      <c r="BD2" s="187"/>
      <c r="BE2" s="187"/>
      <c r="BF2" s="187"/>
      <c r="BG2" s="187"/>
      <c r="BH2" s="187"/>
      <c r="BI2" s="187"/>
      <c r="BJ2" s="187"/>
      <c r="BK2" s="187"/>
      <c r="BL2" s="187"/>
      <c r="BM2" s="187"/>
      <c r="BN2" s="187"/>
      <c r="BO2" s="187"/>
      <c r="BP2" s="187"/>
    </row>
    <row r="3" spans="1:68">
      <c r="A3" s="187"/>
      <c r="B3" s="187"/>
      <c r="C3" s="191"/>
      <c r="D3" s="191"/>
      <c r="E3" s="187"/>
      <c r="F3" s="187"/>
      <c r="G3" s="187"/>
      <c r="H3" s="187"/>
      <c r="I3" s="187"/>
      <c r="J3" s="187"/>
      <c r="K3" s="191"/>
      <c r="L3" s="191"/>
      <c r="M3" s="261">
        <v>2026</v>
      </c>
      <c r="N3" s="261"/>
      <c r="O3" s="261"/>
      <c r="P3" s="261"/>
      <c r="Q3" s="261"/>
      <c r="R3" s="261"/>
      <c r="S3" s="261"/>
      <c r="T3" s="261"/>
      <c r="U3" s="261"/>
      <c r="V3" s="261"/>
      <c r="W3" s="261"/>
      <c r="X3" s="261"/>
      <c r="Y3" s="261">
        <v>2027</v>
      </c>
      <c r="Z3" s="261"/>
      <c r="AA3" s="261"/>
      <c r="AB3" s="261"/>
      <c r="AC3" s="261"/>
      <c r="AD3" s="261"/>
      <c r="AE3" s="261"/>
      <c r="AF3" s="261"/>
      <c r="AG3" s="261"/>
      <c r="AH3" s="261"/>
      <c r="AI3" s="261"/>
      <c r="AJ3" s="261"/>
      <c r="AK3" s="187"/>
      <c r="AL3" s="187"/>
      <c r="AM3" s="187"/>
      <c r="AN3" s="187"/>
      <c r="AO3" s="187"/>
      <c r="AP3" s="187"/>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7"/>
      <c r="BO3" s="187"/>
      <c r="BP3" s="187"/>
    </row>
    <row r="4" spans="1:68" s="202" customFormat="1" ht="39">
      <c r="A4" s="199" t="s">
        <v>1</v>
      </c>
      <c r="B4" s="199" t="s">
        <v>6</v>
      </c>
      <c r="C4" s="199" t="s">
        <v>2</v>
      </c>
      <c r="D4" s="199" t="s">
        <v>3</v>
      </c>
      <c r="E4" s="199" t="s">
        <v>5</v>
      </c>
      <c r="F4" s="199" t="s">
        <v>11</v>
      </c>
      <c r="G4" s="124" t="s">
        <v>12</v>
      </c>
      <c r="H4" s="199" t="s">
        <v>13</v>
      </c>
      <c r="I4" s="124" t="s">
        <v>14</v>
      </c>
      <c r="J4" s="124" t="s">
        <v>15</v>
      </c>
      <c r="K4" s="199" t="s">
        <v>17</v>
      </c>
      <c r="L4" s="199" t="s">
        <v>22</v>
      </c>
      <c r="M4" t="s">
        <v>27</v>
      </c>
      <c r="N4" t="s">
        <v>111</v>
      </c>
      <c r="O4" s="200">
        <v>46023</v>
      </c>
      <c r="P4" s="200">
        <v>46054</v>
      </c>
      <c r="Q4" s="200">
        <v>46082</v>
      </c>
      <c r="R4" s="200">
        <v>46113</v>
      </c>
      <c r="S4" s="200">
        <v>46143</v>
      </c>
      <c r="T4" s="200">
        <v>46174</v>
      </c>
      <c r="U4" s="200">
        <v>46204</v>
      </c>
      <c r="V4" s="200">
        <v>46235</v>
      </c>
      <c r="W4" s="200">
        <v>46266</v>
      </c>
      <c r="X4" s="200">
        <v>46296</v>
      </c>
      <c r="Y4" s="200">
        <v>46327</v>
      </c>
      <c r="Z4" s="200">
        <v>46357</v>
      </c>
      <c r="AA4" s="200">
        <v>46388</v>
      </c>
      <c r="AB4" s="200">
        <v>46419</v>
      </c>
      <c r="AC4" s="200">
        <v>46447</v>
      </c>
      <c r="AD4" s="200">
        <v>46478</v>
      </c>
      <c r="AE4" s="200">
        <v>46508</v>
      </c>
      <c r="AF4" s="200">
        <v>46539</v>
      </c>
      <c r="AG4" s="200">
        <v>46569</v>
      </c>
      <c r="AH4" s="200">
        <v>46600</v>
      </c>
      <c r="AI4" s="200">
        <v>46631</v>
      </c>
      <c r="AJ4" s="200">
        <v>46661</v>
      </c>
      <c r="AK4" s="200">
        <v>46692</v>
      </c>
      <c r="AL4" s="200">
        <v>46722</v>
      </c>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row>
    <row r="5" spans="1:68">
      <c r="A5" t="s">
        <v>112</v>
      </c>
      <c r="B5" t="s">
        <v>31</v>
      </c>
      <c r="C5" s="192">
        <v>1</v>
      </c>
      <c r="D5" s="192">
        <v>4</v>
      </c>
      <c r="E5" t="s">
        <v>74</v>
      </c>
      <c r="F5" t="s">
        <v>54</v>
      </c>
      <c r="G5" t="s">
        <v>80</v>
      </c>
      <c r="H5" t="s">
        <v>38</v>
      </c>
      <c r="I5" t="s">
        <v>115</v>
      </c>
      <c r="J5" t="s">
        <v>40</v>
      </c>
      <c r="K5" s="194"/>
      <c r="L5" s="194"/>
      <c r="M5" t="s">
        <v>84</v>
      </c>
      <c r="N5" t="s">
        <v>116</v>
      </c>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7"/>
      <c r="AN5" s="187"/>
      <c r="AO5" s="187"/>
      <c r="AP5" s="187"/>
      <c r="AQ5" s="187"/>
      <c r="AR5" s="187"/>
      <c r="AS5" s="187"/>
      <c r="AT5" s="187"/>
      <c r="AU5" s="187"/>
      <c r="AV5" s="187"/>
      <c r="AW5" s="187"/>
      <c r="AX5" s="187"/>
      <c r="AY5" s="187"/>
      <c r="AZ5" s="187"/>
      <c r="BA5" s="187"/>
      <c r="BB5" s="187"/>
      <c r="BC5" s="187"/>
      <c r="BD5" s="187"/>
      <c r="BE5" s="187"/>
      <c r="BF5" s="187"/>
      <c r="BG5" s="187"/>
      <c r="BH5" s="187"/>
      <c r="BI5" s="187"/>
      <c r="BJ5" s="187"/>
      <c r="BK5" s="187"/>
      <c r="BL5" s="187"/>
      <c r="BM5" s="187"/>
      <c r="BN5" s="187"/>
      <c r="BO5" s="187"/>
      <c r="BP5" s="187"/>
    </row>
    <row r="6" spans="1:68">
      <c r="A6" t="s">
        <v>45</v>
      </c>
      <c r="B6" t="s">
        <v>31</v>
      </c>
      <c r="C6" s="192">
        <v>1</v>
      </c>
      <c r="D6" s="192">
        <v>2</v>
      </c>
      <c r="E6" t="s">
        <v>47</v>
      </c>
      <c r="F6" t="s">
        <v>49</v>
      </c>
      <c r="G6" t="s">
        <v>37</v>
      </c>
      <c r="H6" t="s">
        <v>38</v>
      </c>
      <c r="I6" t="s">
        <v>50</v>
      </c>
      <c r="J6" t="s">
        <v>40</v>
      </c>
      <c r="K6" s="194">
        <v>46204</v>
      </c>
      <c r="L6" s="194">
        <v>46469</v>
      </c>
      <c r="M6" t="s">
        <v>44</v>
      </c>
      <c r="N6">
        <v>3327</v>
      </c>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7"/>
      <c r="AN6" s="187"/>
      <c r="AO6" s="187"/>
      <c r="AP6" s="187"/>
      <c r="AQ6" s="187"/>
      <c r="AR6" s="187"/>
      <c r="AS6" s="187"/>
      <c r="AT6" s="187"/>
      <c r="AU6" s="187"/>
      <c r="AV6" s="187"/>
      <c r="AW6" s="187"/>
      <c r="AX6" s="187"/>
      <c r="AY6" s="187"/>
      <c r="AZ6" s="187"/>
      <c r="BA6" s="187"/>
      <c r="BB6" s="187"/>
      <c r="BC6" s="187"/>
      <c r="BD6" s="187"/>
      <c r="BE6" s="187"/>
      <c r="BF6" s="187"/>
      <c r="BG6" s="187"/>
      <c r="BH6" s="187"/>
      <c r="BI6" s="187"/>
      <c r="BJ6" s="187"/>
      <c r="BK6" s="187"/>
      <c r="BL6" s="187"/>
      <c r="BM6" s="187"/>
      <c r="BN6" s="187"/>
      <c r="BO6" s="187"/>
      <c r="BP6" s="187"/>
    </row>
    <row r="7" spans="1:68">
      <c r="A7" t="s">
        <v>117</v>
      </c>
      <c r="B7" t="s">
        <v>31</v>
      </c>
      <c r="C7" s="192">
        <v>1</v>
      </c>
      <c r="D7" s="192">
        <v>6</v>
      </c>
      <c r="E7" t="s">
        <v>30</v>
      </c>
      <c r="F7" t="s">
        <v>49</v>
      </c>
      <c r="G7" t="s">
        <v>37</v>
      </c>
      <c r="H7" t="s">
        <v>38</v>
      </c>
      <c r="I7" t="s">
        <v>50</v>
      </c>
      <c r="J7" t="s">
        <v>40</v>
      </c>
      <c r="K7" s="194">
        <v>46113</v>
      </c>
      <c r="L7" s="194">
        <v>46294</v>
      </c>
      <c r="M7" t="s">
        <v>88</v>
      </c>
      <c r="N7" t="s">
        <v>116</v>
      </c>
      <c r="O7" s="188"/>
      <c r="P7" s="188"/>
      <c r="Q7" s="188"/>
      <c r="R7" s="188"/>
      <c r="S7" s="188"/>
      <c r="T7" s="188"/>
      <c r="U7" s="188"/>
      <c r="V7" s="188"/>
      <c r="W7" s="188"/>
      <c r="X7" s="188"/>
      <c r="Y7" s="188"/>
      <c r="Z7" s="188"/>
      <c r="AA7" s="188"/>
      <c r="AB7" s="188"/>
      <c r="AC7" s="188"/>
      <c r="AD7" s="188"/>
      <c r="AE7" s="188"/>
      <c r="AF7" s="188"/>
      <c r="AG7" s="188"/>
      <c r="AH7" s="188"/>
      <c r="AI7" s="188"/>
      <c r="AJ7" s="188"/>
      <c r="AK7" s="188"/>
      <c r="AL7" s="188"/>
      <c r="AM7" s="187"/>
      <c r="AN7" s="187"/>
      <c r="AO7" s="187"/>
      <c r="AP7" s="187"/>
      <c r="AQ7" s="187"/>
      <c r="AR7" s="187"/>
      <c r="AS7" s="187"/>
      <c r="AT7" s="187"/>
      <c r="AU7" s="187"/>
      <c r="AV7" s="187"/>
      <c r="AW7" s="187"/>
      <c r="AX7" s="187"/>
      <c r="AY7" s="187"/>
      <c r="AZ7" s="187"/>
      <c r="BA7" s="187"/>
      <c r="BB7" s="187"/>
      <c r="BC7" s="187"/>
      <c r="BD7" s="187"/>
      <c r="BE7" s="187"/>
      <c r="BF7" s="187"/>
      <c r="BG7" s="187"/>
      <c r="BH7" s="187"/>
      <c r="BI7" s="187"/>
      <c r="BJ7" s="187"/>
      <c r="BK7" s="187"/>
      <c r="BL7" s="187"/>
      <c r="BM7" s="187"/>
      <c r="BN7" s="187"/>
      <c r="BO7" s="187"/>
      <c r="BP7" s="187"/>
    </row>
    <row r="8" spans="1:68">
      <c r="A8" t="s">
        <v>118</v>
      </c>
      <c r="B8" t="s">
        <v>66</v>
      </c>
      <c r="C8" s="192">
        <v>1</v>
      </c>
      <c r="D8" s="192">
        <v>14</v>
      </c>
      <c r="E8" t="s">
        <v>47</v>
      </c>
      <c r="F8" t="s">
        <v>36</v>
      </c>
      <c r="G8" t="s">
        <v>37</v>
      </c>
      <c r="H8" t="s">
        <v>38</v>
      </c>
      <c r="I8" t="s">
        <v>122</v>
      </c>
      <c r="J8" t="s">
        <v>123</v>
      </c>
      <c r="K8" s="194">
        <v>46251</v>
      </c>
      <c r="L8" s="194">
        <v>46512</v>
      </c>
      <c r="M8" t="s">
        <v>94</v>
      </c>
      <c r="N8">
        <v>3227</v>
      </c>
      <c r="O8" s="188"/>
      <c r="P8" s="188"/>
      <c r="Q8" s="188"/>
      <c r="R8" s="188"/>
      <c r="S8" s="188"/>
      <c r="T8" s="188"/>
      <c r="U8" s="188"/>
      <c r="V8" s="188"/>
      <c r="W8" s="188"/>
      <c r="X8" s="188"/>
      <c r="Y8" s="188"/>
      <c r="Z8" s="188"/>
      <c r="AA8" s="188"/>
      <c r="AB8" s="188"/>
      <c r="AC8" s="188"/>
      <c r="AD8" s="188"/>
      <c r="AE8" s="188"/>
      <c r="AF8" s="188"/>
      <c r="AG8" s="188"/>
      <c r="AH8" s="188"/>
      <c r="AI8" s="188"/>
      <c r="AJ8" s="188"/>
      <c r="AK8" s="188"/>
      <c r="AL8" s="188"/>
      <c r="AM8" s="187"/>
      <c r="AN8" s="189"/>
      <c r="AO8" s="187"/>
      <c r="AP8" s="187"/>
      <c r="AQ8" s="187"/>
      <c r="AR8" s="187"/>
      <c r="AS8" s="187"/>
      <c r="AT8" s="187"/>
      <c r="AU8" s="187"/>
      <c r="AV8" s="187"/>
      <c r="AW8" s="187"/>
      <c r="AX8" s="187"/>
      <c r="AY8" s="187"/>
      <c r="AZ8" s="187"/>
      <c r="BA8" s="187"/>
      <c r="BB8" s="187"/>
      <c r="BC8" s="187"/>
      <c r="BD8" s="187"/>
      <c r="BE8" s="187"/>
      <c r="BF8" s="187"/>
      <c r="BG8" s="187"/>
      <c r="BH8" s="187"/>
      <c r="BI8" s="187"/>
      <c r="BJ8" s="187"/>
      <c r="BK8" s="187"/>
      <c r="BL8" s="187"/>
      <c r="BM8" s="187"/>
      <c r="BN8" s="187"/>
      <c r="BO8" s="187"/>
      <c r="BP8" s="187"/>
    </row>
    <row r="9" spans="1:68">
      <c r="A9" t="s">
        <v>125</v>
      </c>
      <c r="B9" t="s">
        <v>66</v>
      </c>
      <c r="C9" s="192">
        <v>1</v>
      </c>
      <c r="D9" s="192">
        <v>37</v>
      </c>
      <c r="E9" t="s">
        <v>75</v>
      </c>
      <c r="F9" t="s">
        <v>54</v>
      </c>
      <c r="G9" t="s">
        <v>79</v>
      </c>
      <c r="H9" t="s">
        <v>55</v>
      </c>
      <c r="I9" t="s">
        <v>56</v>
      </c>
      <c r="J9" t="s">
        <v>123</v>
      </c>
      <c r="K9" s="194"/>
      <c r="L9" s="194"/>
      <c r="M9" t="s">
        <v>84</v>
      </c>
      <c r="N9" t="s">
        <v>116</v>
      </c>
      <c r="O9" s="188"/>
      <c r="P9" s="188"/>
      <c r="Q9" s="188"/>
      <c r="R9" s="188"/>
      <c r="S9" s="188"/>
      <c r="T9" s="188"/>
      <c r="U9" s="188"/>
      <c r="V9" s="188"/>
      <c r="W9" s="188"/>
      <c r="X9" s="188"/>
      <c r="Y9" s="188"/>
      <c r="Z9" s="188"/>
      <c r="AA9" s="188"/>
      <c r="AB9" s="188"/>
      <c r="AC9" s="188"/>
      <c r="AD9" s="188"/>
      <c r="AE9" s="188"/>
      <c r="AF9" s="188"/>
      <c r="AG9" s="188"/>
      <c r="AH9" s="188"/>
      <c r="AI9" s="188"/>
      <c r="AJ9" s="188"/>
      <c r="AK9" s="188"/>
      <c r="AL9" s="188"/>
      <c r="AM9" s="187"/>
      <c r="AN9" s="187"/>
      <c r="AO9" s="187"/>
      <c r="AP9" s="187"/>
      <c r="AQ9" s="187"/>
      <c r="AR9" s="187"/>
      <c r="AS9" s="187"/>
      <c r="AT9" s="187"/>
      <c r="AU9" s="187"/>
      <c r="AV9" s="187"/>
      <c r="AW9" s="187"/>
      <c r="AX9" s="187"/>
      <c r="AY9" s="187"/>
      <c r="AZ9" s="187"/>
      <c r="BA9" s="187"/>
      <c r="BB9" s="187"/>
      <c r="BC9" s="187"/>
      <c r="BD9" s="187"/>
      <c r="BE9" s="187"/>
      <c r="BF9" s="187"/>
      <c r="BG9" s="187"/>
      <c r="BH9" s="187"/>
      <c r="BI9" s="187"/>
      <c r="BJ9" s="187"/>
      <c r="BK9" s="187"/>
      <c r="BL9" s="187"/>
      <c r="BM9" s="187"/>
      <c r="BN9" s="187"/>
      <c r="BO9" s="187"/>
      <c r="BP9" s="187"/>
    </row>
    <row r="10" spans="1:68">
      <c r="A10" t="s">
        <v>128</v>
      </c>
      <c r="B10" t="s">
        <v>68</v>
      </c>
      <c r="C10" s="192">
        <v>1</v>
      </c>
      <c r="D10" s="192">
        <v>14</v>
      </c>
      <c r="E10" t="s">
        <v>30</v>
      </c>
      <c r="F10" t="s">
        <v>63</v>
      </c>
      <c r="G10" t="s">
        <v>37</v>
      </c>
      <c r="H10" t="s">
        <v>38</v>
      </c>
      <c r="I10" t="s">
        <v>131</v>
      </c>
      <c r="J10" t="s">
        <v>132</v>
      </c>
      <c r="K10" s="194">
        <v>46237</v>
      </c>
      <c r="L10" s="194">
        <v>46414</v>
      </c>
      <c r="M10" t="s">
        <v>89</v>
      </c>
      <c r="N10" t="s">
        <v>116</v>
      </c>
      <c r="O10" s="188"/>
      <c r="P10" s="188"/>
      <c r="Q10" s="188"/>
      <c r="R10" s="188"/>
      <c r="S10" s="188"/>
      <c r="T10" s="188"/>
      <c r="U10" s="188"/>
      <c r="V10" s="188"/>
      <c r="W10" s="188"/>
      <c r="X10" s="188"/>
      <c r="Y10" s="188"/>
      <c r="Z10" s="188"/>
      <c r="AA10" s="188"/>
      <c r="AB10" s="188"/>
      <c r="AC10" s="188"/>
      <c r="AD10" s="188"/>
      <c r="AE10" s="188"/>
      <c r="AF10" s="188"/>
      <c r="AG10" s="188"/>
      <c r="AH10" s="188"/>
      <c r="AI10" s="188"/>
      <c r="AJ10" s="188"/>
      <c r="AK10" s="188"/>
      <c r="AL10" s="188"/>
      <c r="AM10" s="187"/>
      <c r="AN10" s="187"/>
      <c r="AO10" s="187"/>
      <c r="AP10" s="187"/>
      <c r="AQ10" s="187"/>
      <c r="AR10" s="187"/>
      <c r="AS10" s="187"/>
      <c r="AT10" s="187"/>
      <c r="AU10" s="187"/>
      <c r="AV10" s="187"/>
      <c r="AW10" s="187"/>
      <c r="AX10" s="187"/>
      <c r="AY10" s="187"/>
      <c r="AZ10" s="187"/>
      <c r="BA10" s="187"/>
      <c r="BB10" s="187"/>
      <c r="BC10" s="187"/>
      <c r="BD10" s="187"/>
      <c r="BE10" s="187"/>
      <c r="BF10" s="187"/>
      <c r="BG10" s="187"/>
      <c r="BH10" s="187"/>
      <c r="BI10" s="187"/>
      <c r="BJ10" s="187"/>
      <c r="BK10" s="187"/>
      <c r="BL10" s="187"/>
      <c r="BM10" s="187"/>
      <c r="BN10" s="187"/>
      <c r="BO10" s="187"/>
      <c r="BP10" s="187"/>
    </row>
    <row r="11" spans="1:68">
      <c r="A11" t="s">
        <v>133</v>
      </c>
      <c r="B11" t="s">
        <v>66</v>
      </c>
      <c r="C11" s="192">
        <v>1</v>
      </c>
      <c r="D11" s="192">
        <v>19</v>
      </c>
      <c r="E11" t="s">
        <v>30</v>
      </c>
      <c r="F11" t="s">
        <v>36</v>
      </c>
      <c r="G11" t="s">
        <v>37</v>
      </c>
      <c r="H11" t="s">
        <v>38</v>
      </c>
      <c r="I11" t="s">
        <v>137</v>
      </c>
      <c r="J11" t="s">
        <v>123</v>
      </c>
      <c r="K11" s="194">
        <v>46223</v>
      </c>
      <c r="L11" s="194">
        <v>46405</v>
      </c>
      <c r="M11" t="s">
        <v>89</v>
      </c>
      <c r="N11" t="s">
        <v>116</v>
      </c>
      <c r="O11" s="188"/>
      <c r="P11" s="188"/>
      <c r="Q11" s="188"/>
      <c r="R11" s="188"/>
      <c r="S11" s="188"/>
      <c r="T11" s="188"/>
      <c r="U11" s="188"/>
      <c r="V11" s="188"/>
      <c r="W11" s="188"/>
      <c r="X11" s="188"/>
      <c r="Y11" s="188"/>
      <c r="Z11" s="188"/>
      <c r="AA11" s="188"/>
      <c r="AB11" s="188"/>
      <c r="AC11" s="188"/>
      <c r="AD11" s="188"/>
      <c r="AE11" s="188"/>
      <c r="AF11" s="188"/>
      <c r="AG11" s="188"/>
      <c r="AH11" s="188"/>
      <c r="AI11" s="188"/>
      <c r="AJ11" s="188"/>
      <c r="AK11" s="188"/>
      <c r="AL11" s="188"/>
      <c r="AM11" s="187"/>
      <c r="AN11" s="187"/>
      <c r="AO11" s="187"/>
      <c r="AP11" s="187"/>
      <c r="AQ11" s="187"/>
      <c r="AR11" s="187"/>
      <c r="AS11" s="187"/>
      <c r="AT11" s="187"/>
      <c r="AU11" s="187"/>
      <c r="AV11" s="187"/>
      <c r="AW11" s="187"/>
      <c r="AX11" s="187"/>
      <c r="AY11" s="187"/>
      <c r="AZ11" s="187"/>
      <c r="BA11" s="187"/>
      <c r="BB11" s="187"/>
      <c r="BC11" s="187"/>
      <c r="BD11" s="187"/>
      <c r="BE11" s="187"/>
      <c r="BF11" s="187"/>
      <c r="BG11" s="187"/>
      <c r="BH11" s="187"/>
      <c r="BI11" s="187"/>
      <c r="BJ11" s="187"/>
      <c r="BK11" s="187"/>
      <c r="BL11" s="187"/>
      <c r="BM11" s="187"/>
      <c r="BN11" s="187"/>
      <c r="BO11" s="187"/>
      <c r="BP11" s="187"/>
    </row>
    <row r="12" spans="1:68">
      <c r="A12" t="s">
        <v>51</v>
      </c>
      <c r="B12" t="s">
        <v>31</v>
      </c>
      <c r="C12" s="192">
        <v>1</v>
      </c>
      <c r="D12" s="192">
        <v>1</v>
      </c>
      <c r="E12" t="s">
        <v>47</v>
      </c>
      <c r="F12" t="s">
        <v>54</v>
      </c>
      <c r="G12" t="s">
        <v>37</v>
      </c>
      <c r="H12" t="s">
        <v>55</v>
      </c>
      <c r="I12" t="s">
        <v>56</v>
      </c>
      <c r="J12" t="s">
        <v>40</v>
      </c>
      <c r="K12" s="194">
        <v>46204</v>
      </c>
      <c r="L12" s="194">
        <v>46469</v>
      </c>
      <c r="M12" t="s">
        <v>44</v>
      </c>
      <c r="N12">
        <v>3141</v>
      </c>
      <c r="O12" s="188"/>
      <c r="P12" s="188"/>
      <c r="Q12" s="188"/>
      <c r="R12" s="188"/>
      <c r="S12" s="188"/>
      <c r="T12" s="188"/>
      <c r="U12" s="188"/>
      <c r="V12" s="188"/>
      <c r="W12" s="188"/>
      <c r="X12" s="188"/>
      <c r="Y12" s="188"/>
      <c r="Z12" s="188"/>
      <c r="AA12" s="188"/>
      <c r="AB12" s="188"/>
      <c r="AC12" s="188"/>
      <c r="AD12" s="188"/>
      <c r="AE12" s="188"/>
      <c r="AF12" s="188"/>
      <c r="AG12" s="188"/>
      <c r="AH12" s="188"/>
      <c r="AI12" s="188"/>
      <c r="AJ12" s="188"/>
      <c r="AK12" s="188"/>
      <c r="AL12" s="188"/>
      <c r="AM12" s="187"/>
      <c r="AN12" s="187"/>
      <c r="AO12" s="187"/>
      <c r="AP12" s="187"/>
      <c r="AQ12" s="187"/>
      <c r="AR12" s="187"/>
      <c r="AS12" s="187"/>
      <c r="AT12" s="187"/>
      <c r="AU12" s="187"/>
      <c r="AV12" s="187"/>
      <c r="AW12" s="187"/>
      <c r="AX12" s="187"/>
      <c r="AY12" s="187"/>
      <c r="AZ12" s="187"/>
      <c r="BA12" s="187"/>
      <c r="BB12" s="187"/>
      <c r="BC12" s="187"/>
      <c r="BD12" s="187"/>
      <c r="BE12" s="187"/>
      <c r="BF12" s="187"/>
      <c r="BG12" s="187"/>
      <c r="BH12" s="187"/>
      <c r="BI12" s="187"/>
      <c r="BJ12" s="187"/>
      <c r="BK12" s="187"/>
      <c r="BL12" s="187"/>
      <c r="BM12" s="187"/>
      <c r="BN12" s="187"/>
      <c r="BO12" s="187"/>
      <c r="BP12" s="187"/>
    </row>
    <row r="13" spans="1:68">
      <c r="A13" t="s">
        <v>139</v>
      </c>
      <c r="B13" t="s">
        <v>31</v>
      </c>
      <c r="C13" s="192">
        <v>1</v>
      </c>
      <c r="D13" s="192">
        <v>9</v>
      </c>
      <c r="E13" t="s">
        <v>47</v>
      </c>
      <c r="F13" t="s">
        <v>62</v>
      </c>
      <c r="G13" t="s">
        <v>37</v>
      </c>
      <c r="H13" t="s">
        <v>38</v>
      </c>
      <c r="I13" t="s">
        <v>50</v>
      </c>
      <c r="J13" t="s">
        <v>40</v>
      </c>
      <c r="K13" s="194">
        <v>46266</v>
      </c>
      <c r="L13" s="194">
        <v>46527</v>
      </c>
      <c r="M13" t="s">
        <v>95</v>
      </c>
      <c r="N13">
        <v>3200</v>
      </c>
      <c r="O13" s="188"/>
      <c r="P13" s="188"/>
      <c r="Q13" s="188"/>
      <c r="R13" s="188"/>
      <c r="S13" s="188"/>
      <c r="T13" s="188"/>
      <c r="U13" s="188"/>
      <c r="V13" s="188"/>
      <c r="W13" s="188"/>
      <c r="X13" s="188"/>
      <c r="Y13" s="188"/>
      <c r="Z13" s="188"/>
      <c r="AA13" s="188"/>
      <c r="AB13" s="188"/>
      <c r="AC13" s="188"/>
      <c r="AD13" s="188"/>
      <c r="AE13" s="188"/>
      <c r="AF13" s="188"/>
      <c r="AG13" s="188"/>
      <c r="AH13" s="188"/>
      <c r="AI13" s="188"/>
      <c r="AJ13" s="188"/>
      <c r="AK13" s="188"/>
      <c r="AL13" s="188"/>
      <c r="AM13" s="187"/>
      <c r="AN13" s="187"/>
      <c r="AO13" s="187"/>
      <c r="AP13" s="187"/>
      <c r="AQ13" s="187"/>
      <c r="AR13" s="187"/>
      <c r="AS13" s="187"/>
      <c r="AT13" s="187"/>
      <c r="AU13" s="187"/>
      <c r="AV13" s="187"/>
      <c r="AW13" s="187"/>
      <c r="AX13" s="187"/>
      <c r="AY13" s="187"/>
      <c r="AZ13" s="187"/>
      <c r="BA13" s="187"/>
      <c r="BB13" s="187"/>
      <c r="BC13" s="187"/>
      <c r="BD13" s="187"/>
      <c r="BE13" s="187"/>
      <c r="BF13" s="187"/>
      <c r="BG13" s="187"/>
      <c r="BH13" s="187"/>
      <c r="BI13" s="187"/>
      <c r="BJ13" s="187"/>
      <c r="BK13" s="187"/>
      <c r="BL13" s="187"/>
      <c r="BM13" s="187"/>
      <c r="BN13" s="187"/>
      <c r="BO13" s="187"/>
      <c r="BP13" s="187"/>
    </row>
    <row r="14" spans="1:68">
      <c r="A14" t="s">
        <v>143</v>
      </c>
      <c r="B14" t="s">
        <v>66</v>
      </c>
      <c r="C14" s="192">
        <v>1</v>
      </c>
      <c r="D14" s="192">
        <v>20</v>
      </c>
      <c r="E14" t="s">
        <v>30</v>
      </c>
      <c r="F14" t="s">
        <v>36</v>
      </c>
      <c r="G14" t="s">
        <v>37</v>
      </c>
      <c r="H14" t="s">
        <v>55</v>
      </c>
      <c r="I14" t="s">
        <v>145</v>
      </c>
      <c r="J14" t="s">
        <v>123</v>
      </c>
      <c r="K14" s="194">
        <v>46188</v>
      </c>
      <c r="L14" s="194">
        <v>46367</v>
      </c>
      <c r="M14" t="s">
        <v>87</v>
      </c>
      <c r="N14" t="s">
        <v>116</v>
      </c>
      <c r="O14" s="188"/>
      <c r="P14" s="188"/>
      <c r="Q14" s="188"/>
      <c r="R14" s="188"/>
      <c r="S14" s="188"/>
      <c r="T14" s="188"/>
      <c r="U14" s="188"/>
      <c r="V14" s="188"/>
      <c r="W14" s="188"/>
      <c r="X14" s="188"/>
      <c r="Y14" s="188"/>
      <c r="Z14" s="188"/>
      <c r="AA14" s="188"/>
      <c r="AB14" s="188"/>
      <c r="AC14" s="188"/>
      <c r="AD14" s="188"/>
      <c r="AE14" s="188"/>
      <c r="AF14" s="188"/>
      <c r="AG14" s="188"/>
      <c r="AH14" s="188"/>
      <c r="AI14" s="188"/>
      <c r="AJ14" s="188"/>
      <c r="AK14" s="188"/>
      <c r="AL14" s="188"/>
      <c r="AM14" s="187"/>
      <c r="AN14" s="187"/>
      <c r="AO14" s="187"/>
      <c r="AP14" s="187"/>
      <c r="AQ14" s="187"/>
      <c r="AR14" s="187"/>
      <c r="AS14" s="187"/>
      <c r="AT14" s="187"/>
      <c r="AU14" s="187"/>
      <c r="AV14" s="187"/>
      <c r="AW14" s="187"/>
      <c r="AX14" s="187"/>
      <c r="AY14" s="187"/>
      <c r="AZ14" s="187"/>
      <c r="BA14" s="187"/>
      <c r="BB14" s="187"/>
      <c r="BC14" s="187"/>
      <c r="BD14" s="187"/>
      <c r="BE14" s="187"/>
      <c r="BF14" s="187"/>
      <c r="BG14" s="187"/>
      <c r="BH14" s="187"/>
      <c r="BI14" s="187"/>
      <c r="BJ14" s="187"/>
      <c r="BK14" s="187"/>
      <c r="BL14" s="187"/>
      <c r="BM14" s="187"/>
      <c r="BN14" s="187"/>
      <c r="BO14" s="187"/>
      <c r="BP14" s="187"/>
    </row>
    <row r="15" spans="1:68">
      <c r="A15" t="s">
        <v>147</v>
      </c>
      <c r="B15" t="s">
        <v>65</v>
      </c>
      <c r="C15" s="192">
        <v>1</v>
      </c>
      <c r="D15" s="192">
        <v>3</v>
      </c>
      <c r="E15" t="s">
        <v>74</v>
      </c>
      <c r="F15" t="s">
        <v>63</v>
      </c>
      <c r="G15" t="s">
        <v>37</v>
      </c>
      <c r="H15" t="s">
        <v>151</v>
      </c>
      <c r="I15" t="s">
        <v>152</v>
      </c>
      <c r="J15" t="s">
        <v>153</v>
      </c>
      <c r="K15" s="194">
        <v>46183</v>
      </c>
      <c r="L15" s="194">
        <v>46295</v>
      </c>
      <c r="M15" t="s">
        <v>88</v>
      </c>
      <c r="N15">
        <v>3265</v>
      </c>
      <c r="O15" s="188"/>
      <c r="P15" s="188"/>
      <c r="Q15" s="188"/>
      <c r="R15" s="188"/>
      <c r="S15" s="188"/>
      <c r="T15" s="188"/>
      <c r="U15" s="188"/>
      <c r="V15" s="188"/>
      <c r="W15" s="188"/>
      <c r="X15" s="188"/>
      <c r="Y15" s="188"/>
      <c r="Z15" s="188"/>
      <c r="AA15" s="188"/>
      <c r="AB15" s="188"/>
      <c r="AC15" s="188"/>
      <c r="AD15" s="188"/>
      <c r="AE15" s="188"/>
      <c r="AF15" s="188"/>
      <c r="AG15" s="188"/>
      <c r="AH15" s="188"/>
      <c r="AI15" s="188"/>
      <c r="AJ15" s="188"/>
      <c r="AK15" s="188"/>
      <c r="AL15" s="188"/>
      <c r="AM15" s="187"/>
      <c r="AN15" s="187"/>
      <c r="AO15" s="187"/>
      <c r="AP15" s="187"/>
      <c r="AQ15" s="187"/>
      <c r="AR15" s="187"/>
      <c r="AS15" s="187"/>
      <c r="AT15" s="187"/>
      <c r="AU15" s="187"/>
      <c r="AV15" s="187"/>
      <c r="AW15" s="187"/>
      <c r="AX15" s="187"/>
      <c r="AY15" s="187"/>
      <c r="AZ15" s="187"/>
      <c r="BA15" s="187"/>
      <c r="BB15" s="187"/>
      <c r="BC15" s="187"/>
      <c r="BD15" s="187"/>
      <c r="BE15" s="187"/>
      <c r="BF15" s="187"/>
      <c r="BG15" s="187"/>
      <c r="BH15" s="187"/>
      <c r="BI15" s="187"/>
      <c r="BJ15" s="187"/>
      <c r="BK15" s="187"/>
      <c r="BL15" s="187"/>
      <c r="BM15" s="187"/>
      <c r="BN15" s="187"/>
      <c r="BO15" s="187"/>
      <c r="BP15" s="187"/>
    </row>
    <row r="16" spans="1:68">
      <c r="A16" t="s">
        <v>155</v>
      </c>
      <c r="B16" t="s">
        <v>66</v>
      </c>
      <c r="C16" s="192">
        <v>1</v>
      </c>
      <c r="D16" s="192">
        <v>43</v>
      </c>
      <c r="E16" t="s">
        <v>76</v>
      </c>
      <c r="F16" t="s">
        <v>54</v>
      </c>
      <c r="G16" t="s">
        <v>37</v>
      </c>
      <c r="H16" t="s">
        <v>151</v>
      </c>
      <c r="I16" t="s">
        <v>160</v>
      </c>
      <c r="J16" t="s">
        <v>123</v>
      </c>
      <c r="K16" s="194">
        <v>46300</v>
      </c>
      <c r="L16" s="194">
        <v>46624</v>
      </c>
      <c r="M16" t="s">
        <v>98</v>
      </c>
      <c r="N16">
        <v>3247</v>
      </c>
      <c r="O16" s="188"/>
      <c r="P16" s="188"/>
      <c r="Q16" s="188"/>
      <c r="R16" s="188"/>
      <c r="S16" s="188"/>
      <c r="T16" s="188"/>
      <c r="U16" s="188"/>
      <c r="V16" s="188"/>
      <c r="W16" s="188"/>
      <c r="X16" s="188"/>
      <c r="Y16" s="188"/>
      <c r="Z16" s="188"/>
      <c r="AA16" s="188"/>
      <c r="AB16" s="188"/>
      <c r="AC16" s="188"/>
      <c r="AD16" s="188"/>
      <c r="AE16" s="188"/>
      <c r="AF16" s="188"/>
      <c r="AG16" s="188"/>
      <c r="AH16" s="188"/>
      <c r="AI16" s="188"/>
      <c r="AJ16" s="188"/>
      <c r="AK16" s="188"/>
      <c r="AL16" s="188"/>
      <c r="AM16" s="187"/>
      <c r="AN16" s="187"/>
      <c r="AO16" s="187"/>
      <c r="AP16" s="187"/>
      <c r="AQ16" s="187"/>
      <c r="AR16" s="187"/>
      <c r="AS16" s="187"/>
      <c r="AT16" s="187"/>
      <c r="AU16" s="187"/>
      <c r="AV16" s="187"/>
      <c r="AW16" s="187"/>
      <c r="AX16" s="187"/>
      <c r="AY16" s="187"/>
      <c r="AZ16" s="187"/>
      <c r="BA16" s="187"/>
      <c r="BB16" s="187"/>
      <c r="BC16" s="187"/>
      <c r="BD16" s="187"/>
      <c r="BE16" s="187"/>
      <c r="BF16" s="187"/>
      <c r="BG16" s="187"/>
      <c r="BH16" s="187"/>
      <c r="BI16" s="187"/>
      <c r="BJ16" s="187"/>
      <c r="BK16" s="187"/>
      <c r="BL16" s="187"/>
      <c r="BM16" s="187"/>
      <c r="BN16" s="187"/>
      <c r="BO16" s="187"/>
      <c r="BP16" s="187"/>
    </row>
    <row r="17" spans="1:68">
      <c r="A17" t="s">
        <v>161</v>
      </c>
      <c r="B17" t="s">
        <v>70</v>
      </c>
      <c r="C17" s="192">
        <v>1</v>
      </c>
      <c r="D17" s="192">
        <v>6</v>
      </c>
      <c r="E17" t="s">
        <v>30</v>
      </c>
      <c r="F17" t="s">
        <v>63</v>
      </c>
      <c r="G17" t="s">
        <v>37</v>
      </c>
      <c r="H17" t="s">
        <v>38</v>
      </c>
      <c r="I17" t="s">
        <v>166</v>
      </c>
      <c r="J17" t="s">
        <v>167</v>
      </c>
      <c r="K17" s="194">
        <v>46237</v>
      </c>
      <c r="L17" s="194">
        <v>46414</v>
      </c>
      <c r="M17" t="s">
        <v>89</v>
      </c>
      <c r="N17" t="s">
        <v>116</v>
      </c>
      <c r="O17" s="188"/>
      <c r="P17" s="188"/>
      <c r="Q17" s="188"/>
      <c r="R17" s="188"/>
      <c r="S17" s="188"/>
      <c r="T17" s="188"/>
      <c r="U17" s="188"/>
      <c r="V17" s="188"/>
      <c r="W17" s="188"/>
      <c r="X17" s="188"/>
      <c r="Y17" s="188"/>
      <c r="Z17" s="188"/>
      <c r="AA17" s="188"/>
      <c r="AB17" s="188"/>
      <c r="AC17" s="188"/>
      <c r="AD17" s="188"/>
      <c r="AE17" s="188"/>
      <c r="AF17" s="188"/>
      <c r="AG17" s="188"/>
      <c r="AH17" s="188"/>
      <c r="AI17" s="188"/>
      <c r="AJ17" s="188"/>
      <c r="AK17" s="188"/>
      <c r="AL17" s="188"/>
      <c r="AM17" s="187"/>
      <c r="AN17" s="187"/>
      <c r="AO17" s="187"/>
      <c r="AP17" s="187"/>
      <c r="AQ17" s="187"/>
      <c r="AR17" s="187"/>
      <c r="AS17" s="187"/>
      <c r="AT17" s="187"/>
      <c r="AU17" s="187"/>
      <c r="AV17" s="187"/>
      <c r="AW17" s="187"/>
      <c r="AX17" s="187"/>
      <c r="AY17" s="187"/>
      <c r="AZ17" s="187"/>
      <c r="BA17" s="187"/>
      <c r="BB17" s="187"/>
      <c r="BC17" s="187"/>
      <c r="BD17" s="187"/>
      <c r="BE17" s="187"/>
      <c r="BF17" s="187"/>
      <c r="BG17" s="187"/>
      <c r="BH17" s="187"/>
      <c r="BI17" s="187"/>
      <c r="BJ17" s="187"/>
      <c r="BK17" s="187"/>
      <c r="BL17" s="187"/>
      <c r="BM17" s="187"/>
      <c r="BN17" s="187"/>
      <c r="BO17" s="187"/>
      <c r="BP17" s="187"/>
    </row>
    <row r="18" spans="1:68">
      <c r="A18" t="s">
        <v>168</v>
      </c>
      <c r="B18" t="s">
        <v>31</v>
      </c>
      <c r="C18" s="192">
        <v>1</v>
      </c>
      <c r="D18" s="192">
        <v>1</v>
      </c>
      <c r="E18" t="s">
        <v>30</v>
      </c>
      <c r="F18" t="s">
        <v>62</v>
      </c>
      <c r="G18" t="s">
        <v>37</v>
      </c>
      <c r="H18" t="s">
        <v>38</v>
      </c>
      <c r="I18" t="s">
        <v>50</v>
      </c>
      <c r="J18" t="s">
        <v>40</v>
      </c>
      <c r="K18" s="194">
        <v>46235</v>
      </c>
      <c r="L18" s="194">
        <v>46413</v>
      </c>
      <c r="M18" t="s">
        <v>89</v>
      </c>
      <c r="N18">
        <v>3194</v>
      </c>
      <c r="O18" s="188"/>
      <c r="P18" s="188"/>
      <c r="Q18" s="188"/>
      <c r="R18" s="188"/>
      <c r="S18" s="188"/>
      <c r="T18" s="188"/>
      <c r="U18" s="188"/>
      <c r="V18" s="188"/>
      <c r="W18" s="188"/>
      <c r="X18" s="188"/>
      <c r="Y18" s="188"/>
      <c r="Z18" s="188"/>
      <c r="AA18" s="188"/>
      <c r="AB18" s="188"/>
      <c r="AC18" s="188"/>
      <c r="AD18" s="188"/>
      <c r="AE18" s="188"/>
      <c r="AF18" s="188"/>
      <c r="AG18" s="188"/>
      <c r="AH18" s="188"/>
      <c r="AI18" s="188"/>
      <c r="AJ18" s="188"/>
      <c r="AK18" s="188"/>
      <c r="AL18" s="188"/>
      <c r="AM18" s="187"/>
      <c r="AN18" s="187"/>
      <c r="AO18" s="187"/>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7"/>
      <c r="BO18" s="187"/>
      <c r="BP18" s="187"/>
    </row>
    <row r="19" spans="1:68">
      <c r="A19" t="s">
        <v>171</v>
      </c>
      <c r="B19" t="s">
        <v>66</v>
      </c>
      <c r="C19" s="192">
        <v>1</v>
      </c>
      <c r="D19" s="192">
        <v>9</v>
      </c>
      <c r="E19" t="s">
        <v>30</v>
      </c>
      <c r="F19" t="s">
        <v>36</v>
      </c>
      <c r="G19" t="s">
        <v>37</v>
      </c>
      <c r="H19" t="s">
        <v>38</v>
      </c>
      <c r="I19" t="s">
        <v>175</v>
      </c>
      <c r="J19" t="s">
        <v>123</v>
      </c>
      <c r="K19" s="194">
        <v>46174</v>
      </c>
      <c r="L19" s="194">
        <v>46351</v>
      </c>
      <c r="M19" t="s">
        <v>86</v>
      </c>
      <c r="N19">
        <v>3241</v>
      </c>
      <c r="O19" s="188"/>
      <c r="P19" s="188"/>
      <c r="Q19" s="188"/>
      <c r="R19" s="188"/>
      <c r="S19" s="188"/>
      <c r="T19" s="188"/>
      <c r="U19" s="188"/>
      <c r="V19" s="188"/>
      <c r="W19" s="188"/>
      <c r="X19" s="188"/>
      <c r="Y19" s="188"/>
      <c r="Z19" s="188"/>
      <c r="AA19" s="188"/>
      <c r="AB19" s="188"/>
      <c r="AC19" s="188"/>
      <c r="AD19" s="188"/>
      <c r="AE19" s="188"/>
      <c r="AF19" s="188"/>
      <c r="AG19" s="188"/>
      <c r="AH19" s="188"/>
      <c r="AI19" s="188"/>
      <c r="AJ19" s="188"/>
      <c r="AK19" s="188"/>
      <c r="AL19" s="188"/>
      <c r="AM19" s="187"/>
      <c r="AN19" s="187"/>
      <c r="AO19" s="187"/>
      <c r="AP19" s="187"/>
      <c r="AQ19" s="187"/>
      <c r="AR19" s="187"/>
      <c r="AS19" s="187"/>
      <c r="AT19" s="187"/>
      <c r="AU19" s="187"/>
      <c r="AV19" s="187"/>
      <c r="AW19" s="187"/>
      <c r="AX19" s="187"/>
      <c r="AY19" s="187"/>
      <c r="AZ19" s="187"/>
      <c r="BA19" s="187"/>
      <c r="BB19" s="187"/>
      <c r="BC19" s="187"/>
      <c r="BD19" s="187"/>
      <c r="BE19" s="187"/>
      <c r="BF19" s="187"/>
      <c r="BG19" s="187"/>
      <c r="BH19" s="187"/>
      <c r="BI19" s="187"/>
      <c r="BJ19" s="187"/>
      <c r="BK19" s="187"/>
      <c r="BL19" s="187"/>
      <c r="BM19" s="187"/>
      <c r="BN19" s="187"/>
      <c r="BO19" s="187"/>
      <c r="BP19" s="187"/>
    </row>
    <row r="20" spans="1:68">
      <c r="A20" t="s">
        <v>177</v>
      </c>
      <c r="B20" t="s">
        <v>31</v>
      </c>
      <c r="C20" s="192">
        <v>1</v>
      </c>
      <c r="D20" s="192">
        <v>17</v>
      </c>
      <c r="E20" t="s">
        <v>30</v>
      </c>
      <c r="F20" t="s">
        <v>54</v>
      </c>
      <c r="G20" t="s">
        <v>37</v>
      </c>
      <c r="H20" t="s">
        <v>38</v>
      </c>
      <c r="I20" t="s">
        <v>122</v>
      </c>
      <c r="J20" t="s">
        <v>40</v>
      </c>
      <c r="K20" s="194">
        <v>46238</v>
      </c>
      <c r="L20" s="194">
        <v>46415</v>
      </c>
      <c r="M20" t="s">
        <v>89</v>
      </c>
      <c r="N20">
        <v>3349</v>
      </c>
      <c r="O20" s="188"/>
      <c r="P20" s="188"/>
      <c r="Q20" s="188"/>
      <c r="R20" s="188"/>
      <c r="S20" s="188"/>
      <c r="T20" s="188"/>
      <c r="U20" s="188"/>
      <c r="V20" s="188"/>
      <c r="W20" s="188"/>
      <c r="X20" s="188"/>
      <c r="Y20" s="188"/>
      <c r="Z20" s="188"/>
      <c r="AA20" s="188"/>
      <c r="AB20" s="188"/>
      <c r="AC20" s="188"/>
      <c r="AD20" s="188"/>
      <c r="AE20" s="188"/>
      <c r="AF20" s="188"/>
      <c r="AG20" s="188"/>
      <c r="AH20" s="188"/>
      <c r="AI20" s="188"/>
      <c r="AJ20" s="188"/>
      <c r="AK20" s="188"/>
      <c r="AL20" s="188"/>
      <c r="AM20" s="187"/>
      <c r="AN20" s="187"/>
      <c r="AO20" s="187"/>
      <c r="AP20" s="187"/>
      <c r="AQ20" s="187"/>
      <c r="AR20" s="187"/>
      <c r="AS20" s="187"/>
      <c r="AT20" s="187"/>
      <c r="AU20" s="187"/>
      <c r="AV20" s="187"/>
      <c r="AW20" s="187"/>
      <c r="AX20" s="187"/>
      <c r="AY20" s="187"/>
      <c r="AZ20" s="187"/>
      <c r="BA20" s="187"/>
      <c r="BB20" s="187"/>
      <c r="BC20" s="187"/>
      <c r="BD20" s="187"/>
      <c r="BE20" s="187"/>
      <c r="BF20" s="187"/>
      <c r="BG20" s="187"/>
      <c r="BH20" s="187"/>
      <c r="BI20" s="187"/>
      <c r="BJ20" s="187"/>
      <c r="BK20" s="187"/>
      <c r="BL20" s="187"/>
      <c r="BM20" s="187"/>
      <c r="BN20" s="187"/>
      <c r="BO20" s="187"/>
      <c r="BP20" s="187"/>
    </row>
    <row r="21" spans="1:68">
      <c r="A21" t="s">
        <v>178</v>
      </c>
      <c r="B21" t="s">
        <v>69</v>
      </c>
      <c r="C21" s="192">
        <v>1</v>
      </c>
      <c r="D21" s="192">
        <v>2</v>
      </c>
      <c r="E21" t="s">
        <v>30</v>
      </c>
      <c r="F21" t="s">
        <v>54</v>
      </c>
      <c r="G21" t="s">
        <v>37</v>
      </c>
      <c r="H21" t="s">
        <v>38</v>
      </c>
      <c r="I21" t="s">
        <v>175</v>
      </c>
      <c r="J21" t="s">
        <v>167</v>
      </c>
      <c r="K21" s="194">
        <v>46266</v>
      </c>
      <c r="L21" s="194">
        <v>46442</v>
      </c>
      <c r="M21" t="s">
        <v>93</v>
      </c>
      <c r="N21" t="s">
        <v>116</v>
      </c>
      <c r="O21" s="188"/>
      <c r="P21" s="188"/>
      <c r="Q21" s="188"/>
      <c r="R21" s="188"/>
      <c r="S21" s="188"/>
      <c r="T21" s="188"/>
      <c r="U21" s="188"/>
      <c r="V21" s="188"/>
      <c r="W21" s="188"/>
      <c r="X21" s="188"/>
      <c r="Y21" s="188"/>
      <c r="Z21" s="188"/>
      <c r="AA21" s="188"/>
      <c r="AB21" s="188"/>
      <c r="AC21" s="188"/>
      <c r="AD21" s="188"/>
      <c r="AE21" s="188"/>
      <c r="AF21" s="188"/>
      <c r="AG21" s="188"/>
      <c r="AH21" s="188"/>
      <c r="AI21" s="188"/>
      <c r="AJ21" s="188"/>
      <c r="AK21" s="188"/>
      <c r="AL21" s="188"/>
      <c r="AM21" s="187"/>
      <c r="AN21" s="187"/>
      <c r="AO21" s="187"/>
      <c r="AP21" s="187"/>
      <c r="AQ21" s="187"/>
      <c r="AR21" s="187"/>
      <c r="AS21" s="187"/>
      <c r="AT21" s="187"/>
      <c r="AU21" s="187"/>
      <c r="AV21" s="187"/>
      <c r="AW21" s="187"/>
      <c r="AX21" s="187"/>
      <c r="AY21" s="187"/>
      <c r="AZ21" s="187"/>
      <c r="BA21" s="187"/>
      <c r="BB21" s="187"/>
      <c r="BC21" s="187"/>
      <c r="BD21" s="187"/>
      <c r="BE21" s="187"/>
      <c r="BF21" s="187"/>
      <c r="BG21" s="187"/>
      <c r="BH21" s="187"/>
      <c r="BI21" s="187"/>
      <c r="BJ21" s="187"/>
      <c r="BK21" s="187"/>
      <c r="BL21" s="187"/>
      <c r="BM21" s="187"/>
      <c r="BN21" s="187"/>
      <c r="BO21" s="187"/>
      <c r="BP21" s="187"/>
    </row>
    <row r="22" spans="1:68">
      <c r="A22" t="s">
        <v>180</v>
      </c>
      <c r="B22" t="s">
        <v>31</v>
      </c>
      <c r="C22" s="192">
        <v>1</v>
      </c>
      <c r="D22" s="192" t="s">
        <v>52</v>
      </c>
      <c r="E22" t="s">
        <v>30</v>
      </c>
      <c r="F22" t="s">
        <v>36</v>
      </c>
      <c r="G22" t="s">
        <v>37</v>
      </c>
      <c r="H22" t="s">
        <v>38</v>
      </c>
      <c r="I22" t="s">
        <v>50</v>
      </c>
      <c r="J22" t="s">
        <v>40</v>
      </c>
      <c r="K22" s="194">
        <v>46204</v>
      </c>
      <c r="L22" s="194">
        <v>46385</v>
      </c>
      <c r="M22" t="s">
        <v>87</v>
      </c>
      <c r="N22" t="s">
        <v>183</v>
      </c>
      <c r="O22" s="188"/>
      <c r="P22" s="188"/>
      <c r="Q22" s="188"/>
      <c r="R22" s="188"/>
      <c r="S22" s="188"/>
      <c r="T22" s="188"/>
      <c r="U22" s="188"/>
      <c r="V22" s="188"/>
      <c r="W22" s="188"/>
      <c r="X22" s="188"/>
      <c r="Y22" s="188"/>
      <c r="Z22" s="188"/>
      <c r="AA22" s="188"/>
      <c r="AB22" s="188"/>
      <c r="AC22" s="188"/>
      <c r="AD22" s="188"/>
      <c r="AE22" s="188"/>
      <c r="AF22" s="188"/>
      <c r="AG22" s="188"/>
      <c r="AH22" s="188"/>
      <c r="AI22" s="188"/>
      <c r="AJ22" s="188"/>
      <c r="AK22" s="188"/>
      <c r="AL22" s="188"/>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187"/>
      <c r="BO22" s="187"/>
      <c r="BP22" s="187"/>
    </row>
    <row r="23" spans="1:68">
      <c r="A23" t="s">
        <v>184</v>
      </c>
      <c r="B23" t="s">
        <v>31</v>
      </c>
      <c r="C23" s="192">
        <v>1</v>
      </c>
      <c r="D23" s="192">
        <v>11</v>
      </c>
      <c r="E23" t="s">
        <v>30</v>
      </c>
      <c r="F23" t="s">
        <v>54</v>
      </c>
      <c r="G23" t="s">
        <v>37</v>
      </c>
      <c r="H23" t="s">
        <v>38</v>
      </c>
      <c r="I23" t="s">
        <v>115</v>
      </c>
      <c r="J23" t="s">
        <v>40</v>
      </c>
      <c r="K23" s="194">
        <v>46336</v>
      </c>
      <c r="L23" s="194">
        <v>46513</v>
      </c>
      <c r="M23" t="s">
        <v>94</v>
      </c>
      <c r="N23">
        <v>3196</v>
      </c>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7"/>
      <c r="AN23" s="187"/>
      <c r="AO23" s="187"/>
      <c r="AP23" s="187"/>
      <c r="AQ23" s="187"/>
      <c r="AR23" s="187"/>
      <c r="AS23" s="187"/>
      <c r="AT23" s="187"/>
      <c r="AU23" s="187"/>
      <c r="AV23" s="187"/>
      <c r="AW23" s="187"/>
      <c r="AX23" s="187"/>
      <c r="AY23" s="187"/>
      <c r="AZ23" s="187"/>
      <c r="BA23" s="187"/>
      <c r="BB23" s="187"/>
      <c r="BC23" s="187"/>
      <c r="BD23" s="187"/>
      <c r="BE23" s="187"/>
      <c r="BF23" s="187"/>
      <c r="BG23" s="187"/>
      <c r="BH23" s="187"/>
      <c r="BI23" s="187"/>
      <c r="BJ23" s="187"/>
      <c r="BK23" s="187"/>
      <c r="BL23" s="187"/>
      <c r="BM23" s="187"/>
      <c r="BN23" s="187"/>
      <c r="BO23" s="187"/>
      <c r="BP23" s="187"/>
    </row>
    <row r="24" spans="1:68">
      <c r="A24" t="s">
        <v>185</v>
      </c>
      <c r="B24" t="s">
        <v>31</v>
      </c>
      <c r="C24" s="192">
        <v>1</v>
      </c>
      <c r="D24" s="192">
        <v>11</v>
      </c>
      <c r="E24" t="s">
        <v>30</v>
      </c>
      <c r="F24" t="s">
        <v>63</v>
      </c>
      <c r="G24" t="s">
        <v>37</v>
      </c>
      <c r="H24" t="s">
        <v>38</v>
      </c>
      <c r="I24" t="s">
        <v>115</v>
      </c>
      <c r="J24" t="s">
        <v>40</v>
      </c>
      <c r="K24" s="194">
        <v>46329</v>
      </c>
      <c r="L24" s="194">
        <v>46506</v>
      </c>
      <c r="M24" t="s">
        <v>94</v>
      </c>
      <c r="N24">
        <v>3197</v>
      </c>
      <c r="O24" s="188"/>
      <c r="P24" s="188"/>
      <c r="Q24" s="188"/>
      <c r="R24" s="188"/>
      <c r="S24" s="188"/>
      <c r="T24" s="188"/>
      <c r="U24" s="188"/>
      <c r="V24" s="188"/>
      <c r="W24" s="188"/>
      <c r="X24" s="188"/>
      <c r="Y24" s="188"/>
      <c r="Z24" s="188"/>
      <c r="AA24" s="188"/>
      <c r="AB24" s="188"/>
      <c r="AC24" s="188"/>
      <c r="AD24" s="188"/>
      <c r="AE24" s="188"/>
      <c r="AF24" s="188"/>
      <c r="AG24" s="188"/>
      <c r="AH24" s="188"/>
      <c r="AI24" s="188"/>
      <c r="AJ24" s="188"/>
      <c r="AK24" s="188"/>
      <c r="AL24" s="188"/>
      <c r="AM24" s="187"/>
      <c r="AN24" s="187"/>
      <c r="AO24" s="187"/>
      <c r="AP24" s="187"/>
      <c r="AQ24" s="187"/>
      <c r="AR24" s="187"/>
      <c r="AS24" s="187"/>
      <c r="AT24" s="187"/>
      <c r="AU24" s="187"/>
      <c r="AV24" s="187"/>
      <c r="AW24" s="187"/>
      <c r="AX24" s="187"/>
      <c r="AY24" s="187"/>
      <c r="AZ24" s="187"/>
      <c r="BA24" s="187"/>
      <c r="BB24" s="187"/>
      <c r="BC24" s="187"/>
      <c r="BD24" s="187"/>
      <c r="BE24" s="187"/>
      <c r="BF24" s="187"/>
      <c r="BG24" s="187"/>
      <c r="BH24" s="187"/>
      <c r="BI24" s="187"/>
      <c r="BJ24" s="187"/>
      <c r="BK24" s="187"/>
      <c r="BL24" s="187"/>
      <c r="BM24" s="187"/>
      <c r="BN24" s="187"/>
      <c r="BO24" s="187"/>
      <c r="BP24" s="187"/>
    </row>
    <row r="25" spans="1:68">
      <c r="A25" t="s">
        <v>186</v>
      </c>
      <c r="B25" t="s">
        <v>66</v>
      </c>
      <c r="C25" s="192">
        <v>1</v>
      </c>
      <c r="D25" s="192">
        <v>27</v>
      </c>
      <c r="E25" t="s">
        <v>30</v>
      </c>
      <c r="F25" t="s">
        <v>36</v>
      </c>
      <c r="G25" t="s">
        <v>37</v>
      </c>
      <c r="H25" t="s">
        <v>38</v>
      </c>
      <c r="I25" t="s">
        <v>189</v>
      </c>
      <c r="J25" t="s">
        <v>123</v>
      </c>
      <c r="K25" s="194">
        <v>46237</v>
      </c>
      <c r="L25" s="194">
        <v>46414</v>
      </c>
      <c r="M25" t="s">
        <v>89</v>
      </c>
      <c r="N25" t="s">
        <v>116</v>
      </c>
      <c r="O25" s="188"/>
      <c r="P25" s="188"/>
      <c r="Q25" s="188"/>
      <c r="R25" s="188"/>
      <c r="S25" s="188"/>
      <c r="T25" s="188"/>
      <c r="U25" s="188"/>
      <c r="V25" s="188"/>
      <c r="W25" s="188"/>
      <c r="X25" s="188"/>
      <c r="Y25" s="188"/>
      <c r="Z25" s="188"/>
      <c r="AA25" s="188"/>
      <c r="AB25" s="188"/>
      <c r="AC25" s="188"/>
      <c r="AD25" s="188"/>
      <c r="AE25" s="188"/>
      <c r="AF25" s="188"/>
      <c r="AG25" s="188"/>
      <c r="AH25" s="188"/>
      <c r="AI25" s="188"/>
      <c r="AJ25" s="188"/>
      <c r="AK25" s="188"/>
      <c r="AL25" s="188"/>
      <c r="AM25" s="187"/>
      <c r="AN25" s="187"/>
      <c r="AO25" s="187"/>
      <c r="AP25" s="187"/>
      <c r="AQ25" s="187"/>
      <c r="AR25" s="187"/>
      <c r="AS25" s="187"/>
      <c r="AT25" s="187"/>
      <c r="AU25" s="187"/>
      <c r="AV25" s="187"/>
      <c r="AW25" s="187"/>
      <c r="AX25" s="187"/>
      <c r="AY25" s="187"/>
      <c r="AZ25" s="187"/>
      <c r="BA25" s="187"/>
      <c r="BB25" s="187"/>
      <c r="BC25" s="187"/>
      <c r="BD25" s="187"/>
      <c r="BE25" s="187"/>
      <c r="BF25" s="187"/>
      <c r="BG25" s="187"/>
      <c r="BH25" s="187"/>
      <c r="BI25" s="187"/>
      <c r="BJ25" s="187"/>
      <c r="BK25" s="187"/>
      <c r="BL25" s="187"/>
      <c r="BM25" s="187"/>
      <c r="BN25" s="187"/>
      <c r="BO25" s="187"/>
      <c r="BP25" s="187"/>
    </row>
    <row r="26" spans="1:68">
      <c r="A26" t="s">
        <v>191</v>
      </c>
      <c r="B26" t="s">
        <v>31</v>
      </c>
      <c r="C26" s="192">
        <v>1</v>
      </c>
      <c r="D26" s="192">
        <v>5</v>
      </c>
      <c r="E26" t="s">
        <v>30</v>
      </c>
      <c r="F26" t="s">
        <v>63</v>
      </c>
      <c r="G26" t="s">
        <v>37</v>
      </c>
      <c r="H26" t="s">
        <v>38</v>
      </c>
      <c r="I26" t="s">
        <v>192</v>
      </c>
      <c r="J26" t="s">
        <v>40</v>
      </c>
      <c r="K26" s="194">
        <v>46252</v>
      </c>
      <c r="L26" s="194">
        <v>46428</v>
      </c>
      <c r="M26" t="s">
        <v>93</v>
      </c>
      <c r="N26" t="s">
        <v>116</v>
      </c>
      <c r="O26" s="188"/>
      <c r="P26" s="188"/>
      <c r="Q26" s="188"/>
      <c r="R26" s="188"/>
      <c r="S26" s="188"/>
      <c r="T26" s="188"/>
      <c r="U26" s="188"/>
      <c r="V26" s="188"/>
      <c r="W26" s="188"/>
      <c r="X26" s="188"/>
      <c r="Y26" s="188"/>
      <c r="Z26" s="188"/>
      <c r="AA26" s="188"/>
      <c r="AB26" s="188"/>
      <c r="AC26" s="188"/>
      <c r="AD26" s="188"/>
      <c r="AE26" s="188"/>
      <c r="AF26" s="188"/>
      <c r="AG26" s="188"/>
      <c r="AH26" s="188"/>
      <c r="AI26" s="188"/>
      <c r="AJ26" s="188"/>
      <c r="AK26" s="188"/>
      <c r="AL26" s="188"/>
      <c r="AM26" s="187"/>
      <c r="AN26" s="187"/>
      <c r="AO26" s="187"/>
      <c r="AP26" s="187"/>
      <c r="AQ26" s="187"/>
      <c r="AR26" s="187"/>
      <c r="AS26" s="187"/>
      <c r="AT26" s="187"/>
      <c r="AU26" s="187"/>
      <c r="AV26" s="187"/>
      <c r="AW26" s="187"/>
      <c r="AX26" s="187"/>
      <c r="AY26" s="187"/>
      <c r="AZ26" s="187"/>
      <c r="BA26" s="187"/>
      <c r="BB26" s="187"/>
      <c r="BC26" s="187"/>
      <c r="BD26" s="187"/>
      <c r="BE26" s="187"/>
      <c r="BF26" s="187"/>
      <c r="BG26" s="187"/>
      <c r="BH26" s="187"/>
      <c r="BI26" s="187"/>
      <c r="BJ26" s="187"/>
      <c r="BK26" s="187"/>
      <c r="BL26" s="187"/>
      <c r="BM26" s="187"/>
      <c r="BN26" s="187"/>
      <c r="BO26" s="187"/>
      <c r="BP26" s="187"/>
    </row>
    <row r="27" spans="1:68">
      <c r="A27" t="s">
        <v>193</v>
      </c>
      <c r="B27" t="s">
        <v>31</v>
      </c>
      <c r="C27" s="192">
        <v>1</v>
      </c>
      <c r="D27" s="192">
        <v>5</v>
      </c>
      <c r="E27" t="s">
        <v>30</v>
      </c>
      <c r="F27" t="s">
        <v>63</v>
      </c>
      <c r="G27" t="s">
        <v>37</v>
      </c>
      <c r="H27" t="s">
        <v>38</v>
      </c>
      <c r="I27" t="s">
        <v>50</v>
      </c>
      <c r="J27" t="s">
        <v>40</v>
      </c>
      <c r="K27" s="194">
        <v>46252</v>
      </c>
      <c r="L27" s="194">
        <v>46428</v>
      </c>
      <c r="M27" t="s">
        <v>93</v>
      </c>
      <c r="N27">
        <v>3333</v>
      </c>
      <c r="O27" s="188"/>
      <c r="P27" s="188"/>
      <c r="Q27" s="188"/>
      <c r="R27" s="188"/>
      <c r="S27" s="188"/>
      <c r="T27" s="188"/>
      <c r="U27" s="188"/>
      <c r="V27" s="188"/>
      <c r="W27" s="188"/>
      <c r="X27" s="188"/>
      <c r="Y27" s="188"/>
      <c r="Z27" s="188"/>
      <c r="AA27" s="188"/>
      <c r="AB27" s="188"/>
      <c r="AC27" s="188"/>
      <c r="AD27" s="188"/>
      <c r="AE27" s="188"/>
      <c r="AF27" s="188"/>
      <c r="AG27" s="188"/>
      <c r="AH27" s="188"/>
      <c r="AI27" s="188"/>
      <c r="AJ27" s="188"/>
      <c r="AK27" s="188"/>
      <c r="AL27" s="188"/>
      <c r="AM27" s="187"/>
      <c r="AN27" s="187"/>
      <c r="AO27" s="187"/>
      <c r="AP27" s="187"/>
      <c r="AQ27" s="187"/>
      <c r="AR27" s="187"/>
      <c r="AS27" s="187"/>
      <c r="AT27" s="187"/>
      <c r="AU27" s="187"/>
      <c r="AV27" s="187"/>
      <c r="AW27" s="187"/>
      <c r="AX27" s="187"/>
      <c r="AY27" s="187"/>
      <c r="AZ27" s="187"/>
      <c r="BA27" s="187"/>
      <c r="BB27" s="187"/>
      <c r="BC27" s="187"/>
      <c r="BD27" s="187"/>
      <c r="BE27" s="187"/>
      <c r="BF27" s="187"/>
      <c r="BG27" s="187"/>
      <c r="BH27" s="187"/>
      <c r="BI27" s="187"/>
      <c r="BJ27" s="187"/>
      <c r="BK27" s="187"/>
      <c r="BL27" s="187"/>
      <c r="BM27" s="187"/>
      <c r="BN27" s="187"/>
      <c r="BO27" s="187"/>
      <c r="BP27" s="187"/>
    </row>
    <row r="28" spans="1:68">
      <c r="A28" t="s">
        <v>194</v>
      </c>
      <c r="B28" t="s">
        <v>31</v>
      </c>
      <c r="C28" s="192">
        <v>1</v>
      </c>
      <c r="D28" s="192">
        <v>1</v>
      </c>
      <c r="E28" t="s">
        <v>74</v>
      </c>
      <c r="F28" t="s">
        <v>54</v>
      </c>
      <c r="G28" t="s">
        <v>37</v>
      </c>
      <c r="H28" t="s">
        <v>55</v>
      </c>
      <c r="I28" t="s">
        <v>56</v>
      </c>
      <c r="J28" t="s">
        <v>40</v>
      </c>
      <c r="K28" s="194">
        <v>46181</v>
      </c>
      <c r="L28" s="194">
        <v>46293</v>
      </c>
      <c r="M28" t="s">
        <v>88</v>
      </c>
      <c r="N28">
        <v>3355</v>
      </c>
      <c r="O28" s="188"/>
      <c r="P28" s="188"/>
      <c r="Q28" s="188"/>
      <c r="R28" s="188"/>
      <c r="S28" s="188"/>
      <c r="T28" s="188"/>
      <c r="U28" s="188"/>
      <c r="V28" s="188"/>
      <c r="W28" s="188"/>
      <c r="X28" s="188"/>
      <c r="Y28" s="188"/>
      <c r="Z28" s="188"/>
      <c r="AA28" s="188"/>
      <c r="AB28" s="188"/>
      <c r="AC28" s="188"/>
      <c r="AD28" s="188"/>
      <c r="AE28" s="188"/>
      <c r="AF28" s="188"/>
      <c r="AG28" s="188"/>
      <c r="AH28" s="188"/>
      <c r="AI28" s="188"/>
      <c r="AJ28" s="188"/>
      <c r="AK28" s="188"/>
      <c r="AL28" s="188"/>
      <c r="AM28" s="187"/>
      <c r="AN28" s="187"/>
      <c r="AO28" s="187"/>
      <c r="AP28" s="187"/>
      <c r="AQ28" s="187"/>
      <c r="AR28" s="187"/>
      <c r="AS28" s="187"/>
      <c r="AT28" s="187"/>
      <c r="AU28" s="187"/>
      <c r="AV28" s="187"/>
      <c r="AW28" s="187"/>
      <c r="AX28" s="187"/>
      <c r="AY28" s="187"/>
      <c r="AZ28" s="187"/>
      <c r="BA28" s="187"/>
      <c r="BB28" s="187"/>
      <c r="BC28" s="187"/>
      <c r="BD28" s="187"/>
      <c r="BE28" s="187"/>
      <c r="BF28" s="187"/>
      <c r="BG28" s="187"/>
      <c r="BH28" s="187"/>
      <c r="BI28" s="187"/>
      <c r="BJ28" s="187"/>
      <c r="BK28" s="187"/>
      <c r="BL28" s="187"/>
      <c r="BM28" s="187"/>
      <c r="BN28" s="187"/>
      <c r="BO28" s="187"/>
      <c r="BP28" s="187"/>
    </row>
    <row r="29" spans="1:68">
      <c r="A29" t="s">
        <v>197</v>
      </c>
      <c r="B29" t="s">
        <v>31</v>
      </c>
      <c r="C29" s="192">
        <v>1</v>
      </c>
      <c r="D29" s="192" t="s">
        <v>52</v>
      </c>
      <c r="E29" t="s">
        <v>30</v>
      </c>
      <c r="F29" t="s">
        <v>36</v>
      </c>
      <c r="G29" t="s">
        <v>37</v>
      </c>
      <c r="H29" t="s">
        <v>38</v>
      </c>
      <c r="I29" t="s">
        <v>39</v>
      </c>
      <c r="J29" t="s">
        <v>40</v>
      </c>
      <c r="K29" s="194">
        <v>46237</v>
      </c>
      <c r="L29" s="194">
        <v>46414</v>
      </c>
      <c r="M29" t="s">
        <v>89</v>
      </c>
      <c r="N29" t="s">
        <v>200</v>
      </c>
      <c r="O29" s="188"/>
      <c r="P29" s="188"/>
      <c r="Q29" s="188"/>
      <c r="R29" s="188"/>
      <c r="S29" s="188"/>
      <c r="T29" s="188"/>
      <c r="U29" s="188"/>
      <c r="V29" s="188"/>
      <c r="W29" s="188"/>
      <c r="X29" s="188"/>
      <c r="Y29" s="188"/>
      <c r="Z29" s="188"/>
      <c r="AA29" s="188"/>
      <c r="AB29" s="188"/>
      <c r="AC29" s="188"/>
      <c r="AD29" s="188"/>
      <c r="AE29" s="188"/>
      <c r="AF29" s="188"/>
      <c r="AG29" s="188"/>
      <c r="AH29" s="188"/>
      <c r="AI29" s="188"/>
      <c r="AJ29" s="188"/>
      <c r="AK29" s="188"/>
      <c r="AL29" s="188"/>
      <c r="AM29" s="187"/>
      <c r="AN29" s="187"/>
      <c r="AO29" s="187"/>
      <c r="AP29" s="187"/>
      <c r="AQ29" s="187"/>
      <c r="AR29" s="187"/>
      <c r="AS29" s="187"/>
      <c r="AT29" s="187"/>
      <c r="AU29" s="187"/>
      <c r="AV29" s="187"/>
      <c r="AW29" s="187"/>
      <c r="AX29" s="187"/>
      <c r="AY29" s="187"/>
      <c r="AZ29" s="187"/>
      <c r="BA29" s="187"/>
      <c r="BB29" s="187"/>
      <c r="BC29" s="187"/>
      <c r="BD29" s="187"/>
      <c r="BE29" s="187"/>
      <c r="BF29" s="187"/>
      <c r="BG29" s="187"/>
      <c r="BH29" s="187"/>
      <c r="BI29" s="187"/>
      <c r="BJ29" s="187"/>
      <c r="BK29" s="187"/>
      <c r="BL29" s="187"/>
      <c r="BM29" s="187"/>
      <c r="BN29" s="187"/>
      <c r="BO29" s="187"/>
      <c r="BP29" s="187"/>
    </row>
    <row r="30" spans="1:68">
      <c r="A30" t="s">
        <v>201</v>
      </c>
      <c r="B30" t="s">
        <v>31</v>
      </c>
      <c r="C30" s="192">
        <v>1</v>
      </c>
      <c r="D30" s="192">
        <v>3</v>
      </c>
      <c r="E30" t="s">
        <v>75</v>
      </c>
      <c r="F30" t="s">
        <v>36</v>
      </c>
      <c r="G30" t="s">
        <v>80</v>
      </c>
      <c r="H30" t="s">
        <v>38</v>
      </c>
      <c r="I30" t="s">
        <v>202</v>
      </c>
      <c r="J30" t="s">
        <v>40</v>
      </c>
      <c r="K30" s="194"/>
      <c r="L30" s="194"/>
      <c r="M30" t="s">
        <v>84</v>
      </c>
      <c r="N30" t="s">
        <v>116</v>
      </c>
      <c r="O30" s="188"/>
      <c r="P30" s="188"/>
      <c r="Q30" s="188"/>
      <c r="R30" s="188"/>
      <c r="S30" s="188"/>
      <c r="T30" s="188"/>
      <c r="U30" s="188"/>
      <c r="V30" s="188"/>
      <c r="W30" s="188"/>
      <c r="X30" s="188"/>
      <c r="Y30" s="188"/>
      <c r="Z30" s="188"/>
      <c r="AA30" s="188"/>
      <c r="AB30" s="188"/>
      <c r="AC30" s="188"/>
      <c r="AD30" s="188"/>
      <c r="AE30" s="188"/>
      <c r="AF30" s="188"/>
      <c r="AG30" s="188"/>
      <c r="AH30" s="188"/>
      <c r="AI30" s="188"/>
      <c r="AJ30" s="188"/>
      <c r="AK30" s="188"/>
      <c r="AL30" s="188"/>
      <c r="AM30" s="187"/>
      <c r="AN30" s="187"/>
      <c r="AO30" s="187"/>
      <c r="AP30" s="187"/>
      <c r="AQ30" s="187"/>
      <c r="AR30" s="187"/>
      <c r="AS30" s="187"/>
      <c r="AT30" s="187"/>
      <c r="AU30" s="187"/>
      <c r="AV30" s="187"/>
      <c r="AW30" s="187"/>
      <c r="AX30" s="187"/>
      <c r="AY30" s="187"/>
      <c r="AZ30" s="187"/>
      <c r="BA30" s="187"/>
      <c r="BB30" s="187"/>
      <c r="BC30" s="187"/>
      <c r="BD30" s="187"/>
      <c r="BE30" s="187"/>
      <c r="BF30" s="187"/>
      <c r="BG30" s="187"/>
      <c r="BH30" s="187"/>
      <c r="BI30" s="187"/>
      <c r="BJ30" s="187"/>
      <c r="BK30" s="187"/>
      <c r="BL30" s="187"/>
      <c r="BM30" s="187"/>
      <c r="BN30" s="187"/>
      <c r="BO30" s="187"/>
      <c r="BP30" s="187"/>
    </row>
    <row r="31" spans="1:68">
      <c r="A31" t="s">
        <v>203</v>
      </c>
      <c r="B31" t="s">
        <v>68</v>
      </c>
      <c r="C31" s="192">
        <v>1</v>
      </c>
      <c r="D31" s="192">
        <v>4</v>
      </c>
      <c r="E31" t="s">
        <v>30</v>
      </c>
      <c r="F31" t="s">
        <v>36</v>
      </c>
      <c r="G31" t="s">
        <v>79</v>
      </c>
      <c r="H31" t="s">
        <v>55</v>
      </c>
      <c r="I31" t="s">
        <v>206</v>
      </c>
      <c r="J31" t="s">
        <v>132</v>
      </c>
      <c r="K31" s="194"/>
      <c r="L31" s="194"/>
      <c r="M31" t="s">
        <v>84</v>
      </c>
      <c r="N31" t="s">
        <v>116</v>
      </c>
      <c r="O31" s="188"/>
      <c r="P31" s="188"/>
      <c r="Q31" s="188"/>
      <c r="R31" s="188"/>
      <c r="S31" s="188"/>
      <c r="T31" s="188"/>
      <c r="U31" s="188"/>
      <c r="V31" s="188"/>
      <c r="W31" s="188"/>
      <c r="X31" s="188"/>
      <c r="Y31" s="188"/>
      <c r="Z31" s="188"/>
      <c r="AA31" s="188"/>
      <c r="AB31" s="188"/>
      <c r="AC31" s="188"/>
      <c r="AD31" s="188"/>
      <c r="AE31" s="188"/>
      <c r="AF31" s="188"/>
      <c r="AG31" s="188"/>
      <c r="AH31" s="188"/>
      <c r="AI31" s="188"/>
      <c r="AJ31" s="188"/>
      <c r="AK31" s="188"/>
      <c r="AL31" s="188"/>
      <c r="AM31" s="187"/>
      <c r="AN31" s="187"/>
      <c r="AO31" s="187"/>
      <c r="AP31" s="187"/>
      <c r="AQ31" s="187"/>
      <c r="AR31" s="187"/>
      <c r="AS31" s="187"/>
      <c r="AT31" s="187"/>
      <c r="AU31" s="187"/>
      <c r="AV31" s="187"/>
      <c r="AW31" s="187"/>
      <c r="AX31" s="187"/>
      <c r="AY31" s="187"/>
      <c r="AZ31" s="187"/>
      <c r="BA31" s="187"/>
      <c r="BB31" s="187"/>
      <c r="BC31" s="187"/>
      <c r="BD31" s="187"/>
      <c r="BE31" s="187"/>
      <c r="BF31" s="187"/>
      <c r="BG31" s="187"/>
      <c r="BH31" s="187"/>
      <c r="BI31" s="187"/>
      <c r="BJ31" s="187"/>
      <c r="BK31" s="187"/>
      <c r="BL31" s="187"/>
      <c r="BM31" s="187"/>
      <c r="BN31" s="187"/>
      <c r="BO31" s="187"/>
      <c r="BP31" s="187"/>
    </row>
    <row r="32" spans="1:68">
      <c r="A32" t="s">
        <v>208</v>
      </c>
      <c r="B32" t="s">
        <v>66</v>
      </c>
      <c r="C32" s="192">
        <v>1</v>
      </c>
      <c r="D32" s="192">
        <v>22</v>
      </c>
      <c r="E32" t="s">
        <v>74</v>
      </c>
      <c r="F32" t="s">
        <v>36</v>
      </c>
      <c r="G32" t="s">
        <v>37</v>
      </c>
      <c r="H32" t="s">
        <v>55</v>
      </c>
      <c r="I32" t="s">
        <v>145</v>
      </c>
      <c r="J32" t="s">
        <v>123</v>
      </c>
      <c r="K32" s="194">
        <v>46174</v>
      </c>
      <c r="L32" s="194">
        <v>46286</v>
      </c>
      <c r="M32" t="s">
        <v>88</v>
      </c>
      <c r="N32" t="s">
        <v>116</v>
      </c>
      <c r="O32" s="188"/>
      <c r="P32" s="188"/>
      <c r="Q32" s="188"/>
      <c r="R32" s="188"/>
      <c r="S32" s="188"/>
      <c r="T32" s="188"/>
      <c r="U32" s="188"/>
      <c r="V32" s="188"/>
      <c r="W32" s="188"/>
      <c r="X32" s="188"/>
      <c r="Y32" s="188"/>
      <c r="Z32" s="188"/>
      <c r="AA32" s="188"/>
      <c r="AB32" s="188"/>
      <c r="AC32" s="188"/>
      <c r="AD32" s="188"/>
      <c r="AE32" s="188"/>
      <c r="AF32" s="188"/>
      <c r="AG32" s="188"/>
      <c r="AH32" s="188"/>
      <c r="AI32" s="188"/>
      <c r="AJ32" s="188"/>
      <c r="AK32" s="188"/>
      <c r="AL32" s="188"/>
      <c r="AM32" s="187"/>
      <c r="AN32" s="187"/>
      <c r="AO32" s="187"/>
      <c r="AP32" s="187"/>
      <c r="AQ32" s="187"/>
      <c r="AR32" s="187"/>
      <c r="AS32" s="187"/>
      <c r="AT32" s="187"/>
      <c r="AU32" s="187"/>
      <c r="AV32" s="187"/>
      <c r="AW32" s="187"/>
      <c r="AX32" s="187"/>
      <c r="AY32" s="187"/>
      <c r="AZ32" s="187"/>
      <c r="BA32" s="187"/>
      <c r="BB32" s="187"/>
      <c r="BC32" s="187"/>
      <c r="BD32" s="187"/>
      <c r="BE32" s="187"/>
      <c r="BF32" s="187"/>
      <c r="BG32" s="187"/>
      <c r="BH32" s="187"/>
      <c r="BI32" s="187"/>
      <c r="BJ32" s="187"/>
      <c r="BK32" s="187"/>
      <c r="BL32" s="187"/>
      <c r="BM32" s="187"/>
      <c r="BN32" s="187"/>
      <c r="BO32" s="187"/>
      <c r="BP32" s="187"/>
    </row>
    <row r="33" spans="1:68">
      <c r="A33" t="s">
        <v>212</v>
      </c>
      <c r="B33" t="s">
        <v>31</v>
      </c>
      <c r="C33" s="192">
        <v>1</v>
      </c>
      <c r="D33" s="192">
        <v>3</v>
      </c>
      <c r="E33" t="s">
        <v>30</v>
      </c>
      <c r="F33" t="s">
        <v>62</v>
      </c>
      <c r="G33" t="s">
        <v>37</v>
      </c>
      <c r="H33" t="s">
        <v>38</v>
      </c>
      <c r="I33" t="s">
        <v>50</v>
      </c>
      <c r="J33" t="s">
        <v>40</v>
      </c>
      <c r="K33" s="194">
        <v>46266</v>
      </c>
      <c r="L33" s="194">
        <v>46442</v>
      </c>
      <c r="M33" t="s">
        <v>93</v>
      </c>
      <c r="N33" t="s">
        <v>116</v>
      </c>
      <c r="O33" s="188"/>
      <c r="P33" s="188"/>
      <c r="Q33" s="188"/>
      <c r="R33" s="188"/>
      <c r="S33" s="188"/>
      <c r="T33" s="188"/>
      <c r="U33" s="188"/>
      <c r="V33" s="188"/>
      <c r="W33" s="188"/>
      <c r="X33" s="188"/>
      <c r="Y33" s="188"/>
      <c r="Z33" s="188"/>
      <c r="AA33" s="188"/>
      <c r="AB33" s="188"/>
      <c r="AC33" s="188"/>
      <c r="AD33" s="188"/>
      <c r="AE33" s="188"/>
      <c r="AF33" s="188"/>
      <c r="AG33" s="188"/>
      <c r="AH33" s="188"/>
      <c r="AI33" s="188"/>
      <c r="AJ33" s="188"/>
      <c r="AK33" s="188"/>
      <c r="AL33" s="188"/>
      <c r="AM33" s="187"/>
      <c r="AN33" s="187"/>
      <c r="AO33" s="187"/>
      <c r="AP33" s="187"/>
      <c r="AQ33" s="187"/>
      <c r="AR33" s="187"/>
      <c r="AS33" s="187"/>
      <c r="AT33" s="187"/>
      <c r="AU33" s="187"/>
      <c r="AV33" s="187"/>
      <c r="AW33" s="187"/>
      <c r="AX33" s="187"/>
      <c r="AY33" s="187"/>
      <c r="AZ33" s="187"/>
      <c r="BA33" s="187"/>
      <c r="BB33" s="187"/>
      <c r="BC33" s="187"/>
      <c r="BD33" s="187"/>
      <c r="BE33" s="187"/>
      <c r="BF33" s="187"/>
      <c r="BG33" s="187"/>
      <c r="BH33" s="187"/>
      <c r="BI33" s="187"/>
      <c r="BJ33" s="187"/>
      <c r="BK33" s="187"/>
      <c r="BL33" s="187"/>
      <c r="BM33" s="187"/>
      <c r="BN33" s="187"/>
      <c r="BO33" s="187"/>
      <c r="BP33" s="187"/>
    </row>
    <row r="34" spans="1:68">
      <c r="A34" t="s">
        <v>213</v>
      </c>
      <c r="B34" t="s">
        <v>66</v>
      </c>
      <c r="C34" s="192">
        <v>1</v>
      </c>
      <c r="D34" s="192">
        <v>45</v>
      </c>
      <c r="E34" t="s">
        <v>74</v>
      </c>
      <c r="F34" t="s">
        <v>54</v>
      </c>
      <c r="G34" t="s">
        <v>37</v>
      </c>
      <c r="H34" t="s">
        <v>38</v>
      </c>
      <c r="I34" t="s">
        <v>175</v>
      </c>
      <c r="J34" t="s">
        <v>123</v>
      </c>
      <c r="K34" s="194">
        <v>46174</v>
      </c>
      <c r="L34" s="194">
        <v>46286</v>
      </c>
      <c r="M34" t="s">
        <v>88</v>
      </c>
      <c r="N34" t="s">
        <v>116</v>
      </c>
      <c r="O34" s="188"/>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7"/>
      <c r="AN34" s="187"/>
      <c r="AO34" s="187"/>
      <c r="AP34" s="187"/>
      <c r="AQ34" s="187"/>
      <c r="AR34" s="187"/>
      <c r="AS34" s="187"/>
      <c r="AT34" s="187"/>
      <c r="AU34" s="187"/>
      <c r="AV34" s="187"/>
      <c r="AW34" s="187"/>
      <c r="AX34" s="187"/>
      <c r="AY34" s="187"/>
      <c r="AZ34" s="187"/>
      <c r="BA34" s="187"/>
      <c r="BB34" s="187"/>
      <c r="BC34" s="187"/>
      <c r="BD34" s="187"/>
      <c r="BE34" s="187"/>
      <c r="BF34" s="187"/>
      <c r="BG34" s="187"/>
      <c r="BH34" s="187"/>
      <c r="BI34" s="187"/>
      <c r="BJ34" s="187"/>
      <c r="BK34" s="187"/>
      <c r="BL34" s="187"/>
      <c r="BM34" s="187"/>
      <c r="BN34" s="187"/>
      <c r="BO34" s="187"/>
      <c r="BP34" s="187"/>
    </row>
    <row r="35" spans="1:68">
      <c r="A35" t="s">
        <v>216</v>
      </c>
      <c r="B35" t="s">
        <v>31</v>
      </c>
      <c r="C35" s="192">
        <v>1</v>
      </c>
      <c r="D35" s="192">
        <v>8</v>
      </c>
      <c r="E35" t="s">
        <v>30</v>
      </c>
      <c r="F35" t="s">
        <v>49</v>
      </c>
      <c r="G35" t="s">
        <v>37</v>
      </c>
      <c r="H35" t="s">
        <v>38</v>
      </c>
      <c r="I35" t="s">
        <v>50</v>
      </c>
      <c r="J35" t="s">
        <v>40</v>
      </c>
      <c r="K35" s="194">
        <v>46294</v>
      </c>
      <c r="L35" s="194">
        <v>46470</v>
      </c>
      <c r="M35" t="s">
        <v>44</v>
      </c>
      <c r="N35">
        <v>3340</v>
      </c>
      <c r="O35" s="188"/>
      <c r="P35" s="188"/>
      <c r="Q35" s="188"/>
      <c r="R35" s="188"/>
      <c r="S35" s="188"/>
      <c r="T35" s="188"/>
      <c r="U35" s="188"/>
      <c r="V35" s="188"/>
      <c r="W35" s="188"/>
      <c r="X35" s="188"/>
      <c r="Y35" s="188"/>
      <c r="Z35" s="188"/>
      <c r="AA35" s="188"/>
      <c r="AB35" s="188"/>
      <c r="AC35" s="188"/>
      <c r="AD35" s="188"/>
      <c r="AE35" s="188"/>
      <c r="AF35" s="188"/>
      <c r="AG35" s="188"/>
      <c r="AH35" s="188"/>
      <c r="AI35" s="188"/>
      <c r="AJ35" s="188"/>
      <c r="AK35" s="188"/>
      <c r="AL35" s="188"/>
      <c r="AM35" s="187"/>
      <c r="AN35" s="187"/>
      <c r="AO35" s="187"/>
      <c r="AP35" s="187"/>
      <c r="AQ35" s="187"/>
      <c r="AR35" s="187"/>
      <c r="AS35" s="187"/>
      <c r="AT35" s="187"/>
      <c r="AU35" s="187"/>
      <c r="AV35" s="187"/>
      <c r="AW35" s="187"/>
      <c r="AX35" s="187"/>
      <c r="AY35" s="187"/>
      <c r="AZ35" s="187"/>
      <c r="BA35" s="187"/>
      <c r="BB35" s="187"/>
      <c r="BC35" s="187"/>
      <c r="BD35" s="187"/>
      <c r="BE35" s="187"/>
      <c r="BF35" s="187"/>
      <c r="BG35" s="187"/>
      <c r="BH35" s="187"/>
      <c r="BI35" s="187"/>
      <c r="BJ35" s="187"/>
      <c r="BK35" s="187"/>
      <c r="BL35" s="187"/>
      <c r="BM35" s="187"/>
      <c r="BN35" s="187"/>
      <c r="BO35" s="187"/>
      <c r="BP35" s="187"/>
    </row>
    <row r="36" spans="1:68">
      <c r="A36" t="s">
        <v>218</v>
      </c>
      <c r="B36" t="s">
        <v>31</v>
      </c>
      <c r="C36" s="192">
        <v>1</v>
      </c>
      <c r="D36" s="192">
        <v>3</v>
      </c>
      <c r="E36" t="s">
        <v>30</v>
      </c>
      <c r="F36" t="s">
        <v>62</v>
      </c>
      <c r="G36" t="s">
        <v>37</v>
      </c>
      <c r="H36" t="s">
        <v>38</v>
      </c>
      <c r="I36" t="s">
        <v>50</v>
      </c>
      <c r="J36" t="s">
        <v>40</v>
      </c>
      <c r="K36" s="194">
        <v>46204</v>
      </c>
      <c r="L36" s="194">
        <v>46385</v>
      </c>
      <c r="M36" t="s">
        <v>87</v>
      </c>
      <c r="N36" t="s">
        <v>116</v>
      </c>
      <c r="O36" s="188"/>
      <c r="P36" s="188"/>
      <c r="Q36" s="188"/>
      <c r="R36" s="188"/>
      <c r="S36" s="188"/>
      <c r="T36" s="188"/>
      <c r="U36" s="188"/>
      <c r="V36" s="188"/>
      <c r="W36" s="188"/>
      <c r="X36" s="188"/>
      <c r="Y36" s="188"/>
      <c r="Z36" s="188"/>
      <c r="AA36" s="188"/>
      <c r="AB36" s="188"/>
      <c r="AC36" s="188"/>
      <c r="AD36" s="188"/>
      <c r="AE36" s="188"/>
      <c r="AF36" s="188"/>
      <c r="AG36" s="188"/>
      <c r="AH36" s="188"/>
      <c r="AI36" s="188"/>
      <c r="AJ36" s="188"/>
      <c r="AK36" s="188"/>
      <c r="AL36" s="188"/>
      <c r="AM36" s="187"/>
      <c r="AN36" s="187"/>
      <c r="AO36" s="187"/>
      <c r="AP36" s="187"/>
      <c r="AQ36" s="187"/>
      <c r="AR36" s="187"/>
      <c r="AS36" s="187"/>
      <c r="AT36" s="187"/>
      <c r="AU36" s="187"/>
      <c r="AV36" s="187"/>
      <c r="AW36" s="187"/>
      <c r="AX36" s="187"/>
      <c r="AY36" s="187"/>
      <c r="AZ36" s="187"/>
      <c r="BA36" s="187"/>
      <c r="BB36" s="187"/>
      <c r="BC36" s="187"/>
      <c r="BD36" s="187"/>
      <c r="BE36" s="187"/>
      <c r="BF36" s="187"/>
      <c r="BG36" s="187"/>
      <c r="BH36" s="187"/>
      <c r="BI36" s="187"/>
      <c r="BJ36" s="187"/>
      <c r="BK36" s="187"/>
      <c r="BL36" s="187"/>
      <c r="BM36" s="187"/>
      <c r="BN36" s="187"/>
      <c r="BO36" s="187"/>
      <c r="BP36" s="187"/>
    </row>
    <row r="37" spans="1:68">
      <c r="A37" t="s">
        <v>219</v>
      </c>
      <c r="B37" t="s">
        <v>66</v>
      </c>
      <c r="C37" s="192">
        <v>1</v>
      </c>
      <c r="D37" s="192">
        <v>30</v>
      </c>
      <c r="E37" t="s">
        <v>30</v>
      </c>
      <c r="F37" t="s">
        <v>54</v>
      </c>
      <c r="G37" t="s">
        <v>37</v>
      </c>
      <c r="H37" t="s">
        <v>38</v>
      </c>
      <c r="I37" t="s">
        <v>166</v>
      </c>
      <c r="J37" t="s">
        <v>123</v>
      </c>
      <c r="K37" s="194">
        <v>46216</v>
      </c>
      <c r="L37" s="194">
        <v>46398</v>
      </c>
      <c r="M37" t="s">
        <v>89</v>
      </c>
      <c r="N37">
        <v>3135</v>
      </c>
      <c r="O37" s="188"/>
      <c r="P37" s="188"/>
      <c r="Q37" s="188"/>
      <c r="R37" s="188"/>
      <c r="S37" s="188"/>
      <c r="T37" s="188"/>
      <c r="U37" s="188"/>
      <c r="V37" s="188"/>
      <c r="W37" s="188"/>
      <c r="X37" s="188"/>
      <c r="Y37" s="188"/>
      <c r="Z37" s="188"/>
      <c r="AA37" s="188"/>
      <c r="AB37" s="188"/>
      <c r="AC37" s="188"/>
      <c r="AD37" s="188"/>
      <c r="AE37" s="188"/>
      <c r="AF37" s="188"/>
      <c r="AG37" s="188"/>
      <c r="AH37" s="188"/>
      <c r="AI37" s="188"/>
      <c r="AJ37" s="188"/>
      <c r="AK37" s="188"/>
      <c r="AL37" s="188"/>
      <c r="AM37" s="187"/>
      <c r="AN37" s="187"/>
      <c r="AO37" s="187"/>
      <c r="AP37" s="187"/>
      <c r="AQ37" s="187"/>
      <c r="AR37" s="187"/>
      <c r="AS37" s="187"/>
      <c r="AT37" s="187"/>
      <c r="AU37" s="187"/>
      <c r="AV37" s="187"/>
      <c r="AW37" s="187"/>
      <c r="AX37" s="187"/>
      <c r="AY37" s="187"/>
      <c r="AZ37" s="187"/>
      <c r="BA37" s="187"/>
      <c r="BB37" s="187"/>
      <c r="BC37" s="187"/>
      <c r="BD37" s="187"/>
      <c r="BE37" s="187"/>
      <c r="BF37" s="187"/>
      <c r="BG37" s="187"/>
      <c r="BH37" s="187"/>
      <c r="BI37" s="187"/>
      <c r="BJ37" s="187"/>
      <c r="BK37" s="187"/>
      <c r="BL37" s="187"/>
      <c r="BM37" s="187"/>
      <c r="BN37" s="187"/>
      <c r="BO37" s="187"/>
      <c r="BP37" s="187"/>
    </row>
    <row r="38" spans="1:68">
      <c r="A38" t="s">
        <v>221</v>
      </c>
      <c r="B38" t="s">
        <v>66</v>
      </c>
      <c r="C38" s="192">
        <v>1</v>
      </c>
      <c r="D38" s="192">
        <v>2</v>
      </c>
      <c r="E38" t="s">
        <v>75</v>
      </c>
      <c r="F38" t="s">
        <v>36</v>
      </c>
      <c r="G38" t="s">
        <v>80</v>
      </c>
      <c r="H38" t="s">
        <v>38</v>
      </c>
      <c r="I38" t="s">
        <v>223</v>
      </c>
      <c r="J38" t="s">
        <v>123</v>
      </c>
      <c r="K38" s="194"/>
      <c r="L38" s="194"/>
      <c r="M38" t="s">
        <v>84</v>
      </c>
      <c r="N38">
        <v>3236</v>
      </c>
      <c r="O38" s="188"/>
      <c r="P38" s="188"/>
      <c r="Q38" s="188"/>
      <c r="R38" s="188"/>
      <c r="S38" s="188"/>
      <c r="T38" s="188"/>
      <c r="U38" s="188"/>
      <c r="V38" s="188"/>
      <c r="W38" s="188"/>
      <c r="X38" s="188"/>
      <c r="Y38" s="188"/>
      <c r="Z38" s="188"/>
      <c r="AA38" s="188"/>
      <c r="AB38" s="188"/>
      <c r="AC38" s="188"/>
      <c r="AD38" s="188"/>
      <c r="AE38" s="188"/>
      <c r="AF38" s="188"/>
      <c r="AG38" s="188"/>
      <c r="AH38" s="188"/>
      <c r="AI38" s="188"/>
      <c r="AJ38" s="188"/>
      <c r="AK38" s="188"/>
      <c r="AL38" s="188"/>
      <c r="AM38" s="187"/>
      <c r="AN38" s="187"/>
      <c r="AO38" s="187"/>
      <c r="AP38" s="187"/>
      <c r="AQ38" s="187"/>
      <c r="AR38" s="187"/>
      <c r="AS38" s="187"/>
      <c r="AT38" s="187"/>
      <c r="AU38" s="187"/>
      <c r="AV38" s="187"/>
      <c r="AW38" s="187"/>
      <c r="AX38" s="187"/>
      <c r="AY38" s="187"/>
      <c r="AZ38" s="187"/>
      <c r="BA38" s="187"/>
      <c r="BB38" s="187"/>
      <c r="BC38" s="187"/>
      <c r="BD38" s="187"/>
      <c r="BE38" s="187"/>
      <c r="BF38" s="187"/>
      <c r="BG38" s="187"/>
      <c r="BH38" s="187"/>
      <c r="BI38" s="187"/>
      <c r="BJ38" s="187"/>
      <c r="BK38" s="187"/>
      <c r="BL38" s="187"/>
      <c r="BM38" s="187"/>
      <c r="BN38" s="187"/>
      <c r="BO38" s="187"/>
      <c r="BP38" s="187"/>
    </row>
    <row r="39" spans="1:68">
      <c r="A39" t="s">
        <v>225</v>
      </c>
      <c r="B39" t="s">
        <v>66</v>
      </c>
      <c r="C39" s="192">
        <v>1</v>
      </c>
      <c r="D39" s="192">
        <v>31</v>
      </c>
      <c r="E39" t="s">
        <v>76</v>
      </c>
      <c r="F39" t="s">
        <v>62</v>
      </c>
      <c r="G39" t="s">
        <v>37</v>
      </c>
      <c r="H39" t="s">
        <v>38</v>
      </c>
      <c r="I39" t="s">
        <v>189</v>
      </c>
      <c r="J39" t="s">
        <v>123</v>
      </c>
      <c r="K39" s="194">
        <v>46391</v>
      </c>
      <c r="L39" s="194">
        <v>46713</v>
      </c>
      <c r="M39" t="s">
        <v>91</v>
      </c>
      <c r="N39">
        <v>3230</v>
      </c>
      <c r="O39" s="188"/>
      <c r="P39" s="188"/>
      <c r="Q39" s="188"/>
      <c r="R39" s="188"/>
      <c r="S39" s="188"/>
      <c r="T39" s="188"/>
      <c r="U39" s="188"/>
      <c r="V39" s="188"/>
      <c r="W39" s="188"/>
      <c r="X39" s="188"/>
      <c r="Y39" s="188"/>
      <c r="Z39" s="188"/>
      <c r="AA39" s="188"/>
      <c r="AB39" s="188"/>
      <c r="AC39" s="188"/>
      <c r="AD39" s="188"/>
      <c r="AE39" s="188"/>
      <c r="AF39" s="188"/>
      <c r="AG39" s="188"/>
      <c r="AH39" s="188"/>
      <c r="AI39" s="188"/>
      <c r="AJ39" s="188"/>
      <c r="AK39" s="188"/>
      <c r="AL39" s="188"/>
      <c r="AM39" s="187"/>
      <c r="AN39" s="187"/>
      <c r="AO39" s="187"/>
      <c r="AP39" s="187"/>
      <c r="AQ39" s="187"/>
      <c r="AR39" s="187"/>
      <c r="AS39" s="187"/>
      <c r="AT39" s="187"/>
      <c r="AU39" s="187"/>
      <c r="AV39" s="187"/>
      <c r="AW39" s="187"/>
      <c r="AX39" s="187"/>
      <c r="AY39" s="187"/>
      <c r="AZ39" s="187"/>
      <c r="BA39" s="187"/>
      <c r="BB39" s="187"/>
      <c r="BC39" s="187"/>
      <c r="BD39" s="187"/>
      <c r="BE39" s="187"/>
      <c r="BF39" s="187"/>
      <c r="BG39" s="187"/>
      <c r="BH39" s="187"/>
      <c r="BI39" s="187"/>
      <c r="BJ39" s="187"/>
      <c r="BK39" s="187"/>
      <c r="BL39" s="187"/>
      <c r="BM39" s="187"/>
      <c r="BN39" s="187"/>
      <c r="BO39" s="187"/>
      <c r="BP39" s="187"/>
    </row>
    <row r="40" spans="1:68">
      <c r="A40" t="s">
        <v>228</v>
      </c>
      <c r="B40" t="s">
        <v>69</v>
      </c>
      <c r="C40" s="192">
        <v>1</v>
      </c>
      <c r="D40" s="192">
        <v>1</v>
      </c>
      <c r="E40" t="s">
        <v>77</v>
      </c>
      <c r="F40" t="s">
        <v>63</v>
      </c>
      <c r="G40" t="s">
        <v>37</v>
      </c>
      <c r="H40" t="s">
        <v>38</v>
      </c>
      <c r="I40" t="s">
        <v>175</v>
      </c>
      <c r="J40" t="s">
        <v>167</v>
      </c>
      <c r="K40" s="194">
        <v>46266</v>
      </c>
      <c r="L40" s="194">
        <v>46622</v>
      </c>
      <c r="M40" t="s">
        <v>98</v>
      </c>
      <c r="N40" t="s">
        <v>116</v>
      </c>
      <c r="O40" s="188"/>
      <c r="P40" s="188"/>
      <c r="Q40" s="188"/>
      <c r="R40" s="188"/>
      <c r="S40" s="188"/>
      <c r="T40" s="188"/>
      <c r="U40" s="188"/>
      <c r="V40" s="188"/>
      <c r="W40" s="188"/>
      <c r="X40" s="188"/>
      <c r="Y40" s="188"/>
      <c r="Z40" s="188"/>
      <c r="AA40" s="188"/>
      <c r="AB40" s="188"/>
      <c r="AC40" s="188"/>
      <c r="AD40" s="188"/>
      <c r="AE40" s="188"/>
      <c r="AF40" s="188"/>
      <c r="AG40" s="188"/>
      <c r="AH40" s="188"/>
      <c r="AI40" s="188"/>
      <c r="AJ40" s="188"/>
      <c r="AK40" s="188"/>
      <c r="AL40" s="188"/>
      <c r="AM40" s="187"/>
      <c r="AN40" s="187"/>
      <c r="AO40" s="187"/>
      <c r="AP40" s="187"/>
      <c r="AQ40" s="187"/>
      <c r="AR40" s="187"/>
      <c r="AS40" s="187"/>
      <c r="AT40" s="187"/>
      <c r="AU40" s="187"/>
      <c r="AV40" s="187"/>
      <c r="AW40" s="187"/>
      <c r="AX40" s="187"/>
      <c r="AY40" s="187"/>
      <c r="AZ40" s="187"/>
      <c r="BA40" s="187"/>
      <c r="BB40" s="187"/>
      <c r="BC40" s="187"/>
      <c r="BD40" s="187"/>
      <c r="BE40" s="187"/>
      <c r="BF40" s="187"/>
      <c r="BG40" s="187"/>
      <c r="BH40" s="187"/>
      <c r="BI40" s="187"/>
      <c r="BJ40" s="187"/>
      <c r="BK40" s="187"/>
      <c r="BL40" s="187"/>
      <c r="BM40" s="187"/>
      <c r="BN40" s="187"/>
      <c r="BO40" s="187"/>
      <c r="BP40" s="187"/>
    </row>
    <row r="41" spans="1:68">
      <c r="A41" t="s">
        <v>232</v>
      </c>
      <c r="B41" t="s">
        <v>66</v>
      </c>
      <c r="C41" s="192">
        <v>1</v>
      </c>
      <c r="D41" s="192">
        <v>5</v>
      </c>
      <c r="E41" t="s">
        <v>47</v>
      </c>
      <c r="F41" t="s">
        <v>36</v>
      </c>
      <c r="G41" t="s">
        <v>37</v>
      </c>
      <c r="H41" t="s">
        <v>38</v>
      </c>
      <c r="I41" t="s">
        <v>234</v>
      </c>
      <c r="J41" t="s">
        <v>123</v>
      </c>
      <c r="K41" s="194">
        <v>46237</v>
      </c>
      <c r="L41" s="194">
        <v>46499</v>
      </c>
      <c r="M41" t="s">
        <v>94</v>
      </c>
      <c r="N41">
        <v>3224</v>
      </c>
      <c r="O41" s="188"/>
      <c r="P41" s="188"/>
      <c r="Q41" s="188"/>
      <c r="R41" s="188"/>
      <c r="S41" s="188"/>
      <c r="T41" s="188"/>
      <c r="U41" s="188"/>
      <c r="V41" s="188"/>
      <c r="W41" s="188"/>
      <c r="X41" s="188"/>
      <c r="Y41" s="188"/>
      <c r="Z41" s="188"/>
      <c r="AA41" s="188"/>
      <c r="AB41" s="188"/>
      <c r="AC41" s="188"/>
      <c r="AD41" s="188"/>
      <c r="AE41" s="188"/>
      <c r="AF41" s="188"/>
      <c r="AG41" s="188"/>
      <c r="AH41" s="188"/>
      <c r="AI41" s="188"/>
      <c r="AJ41" s="188"/>
      <c r="AK41" s="188"/>
      <c r="AL41" s="188"/>
      <c r="AM41" s="187"/>
      <c r="AN41" s="187"/>
      <c r="AO41" s="187"/>
      <c r="AP41" s="187"/>
      <c r="AQ41" s="187"/>
      <c r="AR41" s="187"/>
      <c r="AS41" s="187"/>
      <c r="AT41" s="187"/>
      <c r="AU41" s="187"/>
      <c r="AV41" s="187"/>
      <c r="AW41" s="187"/>
      <c r="AX41" s="187"/>
      <c r="AY41" s="187"/>
      <c r="AZ41" s="187"/>
      <c r="BA41" s="187"/>
      <c r="BB41" s="187"/>
      <c r="BC41" s="187"/>
      <c r="BD41" s="187"/>
      <c r="BE41" s="187"/>
      <c r="BF41" s="187"/>
      <c r="BG41" s="187"/>
      <c r="BH41" s="187"/>
      <c r="BI41" s="187"/>
      <c r="BJ41" s="187"/>
      <c r="BK41" s="187"/>
      <c r="BL41" s="187"/>
      <c r="BM41" s="187"/>
      <c r="BN41" s="187"/>
      <c r="BO41" s="187"/>
      <c r="BP41" s="187"/>
    </row>
    <row r="42" spans="1:68">
      <c r="A42" t="s">
        <v>236</v>
      </c>
      <c r="B42" t="s">
        <v>66</v>
      </c>
      <c r="C42" s="192">
        <v>1</v>
      </c>
      <c r="D42" s="192">
        <v>7</v>
      </c>
      <c r="E42" t="s">
        <v>75</v>
      </c>
      <c r="F42" t="s">
        <v>63</v>
      </c>
      <c r="G42" t="s">
        <v>79</v>
      </c>
      <c r="H42" t="s">
        <v>55</v>
      </c>
      <c r="I42" t="s">
        <v>56</v>
      </c>
      <c r="J42" t="s">
        <v>123</v>
      </c>
      <c r="K42" s="194"/>
      <c r="L42" s="194"/>
      <c r="M42" t="s">
        <v>84</v>
      </c>
      <c r="N42">
        <v>3240</v>
      </c>
      <c r="O42" s="188"/>
      <c r="P42" s="188"/>
      <c r="Q42" s="188"/>
      <c r="R42" s="188"/>
      <c r="S42" s="188"/>
      <c r="T42" s="188"/>
      <c r="U42" s="188"/>
      <c r="V42" s="188"/>
      <c r="W42" s="188"/>
      <c r="X42" s="188"/>
      <c r="Y42" s="188"/>
      <c r="Z42" s="188"/>
      <c r="AA42" s="188"/>
      <c r="AB42" s="188"/>
      <c r="AC42" s="188"/>
      <c r="AD42" s="188"/>
      <c r="AE42" s="188"/>
      <c r="AF42" s="188"/>
      <c r="AG42" s="188"/>
      <c r="AH42" s="188"/>
      <c r="AI42" s="188"/>
      <c r="AJ42" s="188"/>
      <c r="AK42" s="188"/>
      <c r="AL42" s="188"/>
      <c r="AM42" s="187"/>
      <c r="AN42" s="187"/>
      <c r="AO42" s="187"/>
      <c r="AP42" s="187"/>
      <c r="AQ42" s="187"/>
      <c r="AR42" s="187"/>
      <c r="AS42" s="187"/>
      <c r="AT42" s="187"/>
      <c r="AU42" s="187"/>
      <c r="AV42" s="187"/>
      <c r="AW42" s="187"/>
      <c r="AX42" s="187"/>
      <c r="AY42" s="187"/>
      <c r="AZ42" s="187"/>
      <c r="BA42" s="187"/>
      <c r="BB42" s="187"/>
      <c r="BC42" s="187"/>
      <c r="BD42" s="187"/>
      <c r="BE42" s="187"/>
      <c r="BF42" s="187"/>
      <c r="BG42" s="187"/>
      <c r="BH42" s="187"/>
      <c r="BI42" s="187"/>
      <c r="BJ42" s="187"/>
      <c r="BK42" s="187"/>
      <c r="BL42" s="187"/>
      <c r="BM42" s="187"/>
      <c r="BN42" s="187"/>
      <c r="BO42" s="187"/>
      <c r="BP42" s="187"/>
    </row>
    <row r="43" spans="1:68">
      <c r="A43" t="s">
        <v>238</v>
      </c>
      <c r="B43" t="s">
        <v>68</v>
      </c>
      <c r="C43" s="192">
        <v>1</v>
      </c>
      <c r="D43" s="192">
        <v>10</v>
      </c>
      <c r="E43" t="s">
        <v>76</v>
      </c>
      <c r="F43" t="s">
        <v>36</v>
      </c>
      <c r="G43" t="s">
        <v>37</v>
      </c>
      <c r="H43" t="s">
        <v>38</v>
      </c>
      <c r="I43" t="s">
        <v>239</v>
      </c>
      <c r="J43" t="s">
        <v>132</v>
      </c>
      <c r="K43" s="194">
        <v>46266</v>
      </c>
      <c r="L43" s="194">
        <v>46584</v>
      </c>
      <c r="M43" t="s">
        <v>97</v>
      </c>
      <c r="N43" t="s">
        <v>116</v>
      </c>
      <c r="O43" s="188"/>
      <c r="P43" s="188"/>
      <c r="Q43" s="188"/>
      <c r="R43" s="188"/>
      <c r="S43" s="188"/>
      <c r="T43" s="188"/>
      <c r="U43" s="188"/>
      <c r="V43" s="188"/>
      <c r="W43" s="188"/>
      <c r="X43" s="188"/>
      <c r="Y43" s="188"/>
      <c r="Z43" s="188"/>
      <c r="AA43" s="188"/>
      <c r="AB43" s="188"/>
      <c r="AC43" s="188"/>
      <c r="AD43" s="188"/>
      <c r="AE43" s="188"/>
      <c r="AF43" s="188"/>
      <c r="AG43" s="188"/>
      <c r="AH43" s="188"/>
      <c r="AI43" s="188"/>
      <c r="AJ43" s="188"/>
      <c r="AK43" s="188"/>
      <c r="AL43" s="188"/>
      <c r="AM43" s="187"/>
      <c r="AN43" s="187"/>
      <c r="AO43" s="187"/>
      <c r="AP43" s="187"/>
      <c r="AQ43" s="187"/>
      <c r="AR43" s="187"/>
      <c r="AS43" s="187"/>
      <c r="AT43" s="187"/>
      <c r="AU43" s="187"/>
      <c r="AV43" s="187"/>
      <c r="AW43" s="187"/>
      <c r="AX43" s="187"/>
      <c r="AY43" s="187"/>
      <c r="AZ43" s="187"/>
      <c r="BA43" s="187"/>
      <c r="BB43" s="187"/>
      <c r="BC43" s="187"/>
      <c r="BD43" s="187"/>
      <c r="BE43" s="187"/>
      <c r="BF43" s="187"/>
      <c r="BG43" s="187"/>
      <c r="BH43" s="187"/>
      <c r="BI43" s="187"/>
      <c r="BJ43" s="187"/>
      <c r="BK43" s="187"/>
      <c r="BL43" s="187"/>
      <c r="BM43" s="187"/>
      <c r="BN43" s="187"/>
      <c r="BO43" s="187"/>
      <c r="BP43" s="187"/>
    </row>
    <row r="44" spans="1:68">
      <c r="A44" t="s">
        <v>240</v>
      </c>
      <c r="B44" t="s">
        <v>66</v>
      </c>
      <c r="C44" s="192">
        <v>1</v>
      </c>
      <c r="D44" s="192">
        <v>44</v>
      </c>
      <c r="E44" t="s">
        <v>75</v>
      </c>
      <c r="F44" t="s">
        <v>54</v>
      </c>
      <c r="G44" t="s">
        <v>81</v>
      </c>
      <c r="H44" t="s">
        <v>151</v>
      </c>
      <c r="I44" t="s">
        <v>160</v>
      </c>
      <c r="J44" t="s">
        <v>123</v>
      </c>
      <c r="K44" s="194"/>
      <c r="L44" s="194"/>
      <c r="M44" t="s">
        <v>84</v>
      </c>
      <c r="N44">
        <v>3248</v>
      </c>
      <c r="O44" s="188"/>
      <c r="P44" s="188"/>
      <c r="Q44" s="188"/>
      <c r="R44" s="188"/>
      <c r="S44" s="188"/>
      <c r="T44" s="188"/>
      <c r="U44" s="188"/>
      <c r="V44" s="188"/>
      <c r="W44" s="188"/>
      <c r="X44" s="188"/>
      <c r="Y44" s="188"/>
      <c r="Z44" s="188"/>
      <c r="AA44" s="188"/>
      <c r="AB44" s="188"/>
      <c r="AC44" s="188"/>
      <c r="AD44" s="188"/>
      <c r="AE44" s="188"/>
      <c r="AF44" s="188"/>
      <c r="AG44" s="188"/>
      <c r="AH44" s="188"/>
      <c r="AI44" s="188"/>
      <c r="AJ44" s="188"/>
      <c r="AK44" s="188"/>
      <c r="AL44" s="188"/>
      <c r="AM44" s="187"/>
      <c r="AN44" s="187"/>
      <c r="AO44" s="187"/>
      <c r="AP44" s="187"/>
      <c r="AQ44" s="187"/>
      <c r="AR44" s="187"/>
      <c r="AS44" s="187"/>
      <c r="AT44" s="187"/>
      <c r="AU44" s="187"/>
      <c r="AV44" s="187"/>
      <c r="AW44" s="187"/>
      <c r="AX44" s="187"/>
      <c r="AY44" s="187"/>
      <c r="AZ44" s="187"/>
      <c r="BA44" s="187"/>
      <c r="BB44" s="187"/>
      <c r="BC44" s="187"/>
      <c r="BD44" s="187"/>
      <c r="BE44" s="187"/>
      <c r="BF44" s="187"/>
      <c r="BG44" s="187"/>
      <c r="BH44" s="187"/>
      <c r="BI44" s="187"/>
      <c r="BJ44" s="187"/>
      <c r="BK44" s="187"/>
      <c r="BL44" s="187"/>
      <c r="BM44" s="187"/>
      <c r="BN44" s="187"/>
      <c r="BO44" s="187"/>
      <c r="BP44" s="187"/>
    </row>
    <row r="45" spans="1:68">
      <c r="A45" t="s">
        <v>243</v>
      </c>
      <c r="B45" t="s">
        <v>31</v>
      </c>
      <c r="C45" s="192">
        <v>1</v>
      </c>
      <c r="D45" s="192">
        <v>15</v>
      </c>
      <c r="E45" t="s">
        <v>75</v>
      </c>
      <c r="F45" t="s">
        <v>54</v>
      </c>
      <c r="G45" t="s">
        <v>80</v>
      </c>
      <c r="H45" t="s">
        <v>38</v>
      </c>
      <c r="I45" t="s">
        <v>122</v>
      </c>
      <c r="J45" t="s">
        <v>40</v>
      </c>
      <c r="K45" s="194"/>
      <c r="L45" s="194"/>
      <c r="M45" t="s">
        <v>84</v>
      </c>
      <c r="N45" t="s">
        <v>244</v>
      </c>
      <c r="O45" s="188"/>
      <c r="P45" s="188"/>
      <c r="Q45" s="188"/>
      <c r="R45" s="188"/>
      <c r="S45" s="188"/>
      <c r="T45" s="188"/>
      <c r="U45" s="188"/>
      <c r="V45" s="188"/>
      <c r="W45" s="188"/>
      <c r="X45" s="188"/>
      <c r="Y45" s="188"/>
      <c r="Z45" s="188"/>
      <c r="AA45" s="188"/>
      <c r="AB45" s="188"/>
      <c r="AC45" s="188"/>
      <c r="AD45" s="188"/>
      <c r="AE45" s="188"/>
      <c r="AF45" s="188"/>
      <c r="AG45" s="188"/>
      <c r="AH45" s="188"/>
      <c r="AI45" s="188"/>
      <c r="AJ45" s="188"/>
      <c r="AK45" s="188"/>
      <c r="AL45" s="188"/>
      <c r="AM45" s="187"/>
      <c r="AN45" s="187"/>
      <c r="AO45" s="187"/>
      <c r="AP45" s="187"/>
      <c r="AQ45" s="187"/>
      <c r="AR45" s="187"/>
      <c r="AS45" s="187"/>
      <c r="AT45" s="187"/>
      <c r="AU45" s="187"/>
      <c r="AV45" s="187"/>
      <c r="AW45" s="187"/>
      <c r="AX45" s="187"/>
      <c r="AY45" s="187"/>
      <c r="AZ45" s="187"/>
      <c r="BA45" s="187"/>
      <c r="BB45" s="187"/>
      <c r="BC45" s="187"/>
      <c r="BD45" s="187"/>
      <c r="BE45" s="187"/>
      <c r="BF45" s="187"/>
      <c r="BG45" s="187"/>
      <c r="BH45" s="187"/>
      <c r="BI45" s="187"/>
      <c r="BJ45" s="187"/>
      <c r="BK45" s="187"/>
      <c r="BL45" s="187"/>
      <c r="BM45" s="187"/>
      <c r="BN45" s="187"/>
      <c r="BO45" s="187"/>
      <c r="BP45" s="187"/>
    </row>
    <row r="46" spans="1:68">
      <c r="A46" t="s">
        <v>245</v>
      </c>
      <c r="B46" t="s">
        <v>66</v>
      </c>
      <c r="C46" s="192">
        <v>1</v>
      </c>
      <c r="D46" s="192">
        <v>42</v>
      </c>
      <c r="E46" t="s">
        <v>30</v>
      </c>
      <c r="F46" t="s">
        <v>54</v>
      </c>
      <c r="G46" t="s">
        <v>37</v>
      </c>
      <c r="H46" t="s">
        <v>38</v>
      </c>
      <c r="I46" t="s">
        <v>189</v>
      </c>
      <c r="J46" t="s">
        <v>123</v>
      </c>
      <c r="K46" s="194">
        <v>46727</v>
      </c>
      <c r="L46" s="194">
        <v>46898</v>
      </c>
      <c r="M46" t="s">
        <v>100</v>
      </c>
      <c r="N46">
        <v>3246</v>
      </c>
      <c r="O46" s="188"/>
      <c r="P46" s="188"/>
      <c r="Q46" s="188"/>
      <c r="R46" s="188"/>
      <c r="S46" s="188"/>
      <c r="T46" s="188"/>
      <c r="U46" s="188"/>
      <c r="V46" s="188"/>
      <c r="W46" s="188"/>
      <c r="X46" s="188"/>
      <c r="Y46" s="188"/>
      <c r="Z46" s="188"/>
      <c r="AA46" s="188"/>
      <c r="AB46" s="188"/>
      <c r="AC46" s="188"/>
      <c r="AD46" s="188"/>
      <c r="AE46" s="188"/>
      <c r="AF46" s="188"/>
      <c r="AG46" s="188"/>
      <c r="AH46" s="188"/>
      <c r="AI46" s="188"/>
      <c r="AJ46" s="188"/>
      <c r="AK46" s="188"/>
      <c r="AL46" s="188"/>
      <c r="AM46" s="187"/>
      <c r="AN46" s="187"/>
      <c r="AO46" s="187"/>
      <c r="AP46" s="187"/>
      <c r="AQ46" s="187"/>
      <c r="AR46" s="187"/>
      <c r="AS46" s="187"/>
      <c r="AT46" s="187"/>
      <c r="AU46" s="187"/>
      <c r="AV46" s="187"/>
      <c r="AW46" s="187"/>
      <c r="AX46" s="187"/>
      <c r="AY46" s="187"/>
      <c r="AZ46" s="187"/>
      <c r="BA46" s="187"/>
      <c r="BB46" s="187"/>
      <c r="BC46" s="187"/>
      <c r="BD46" s="187"/>
      <c r="BE46" s="187"/>
      <c r="BF46" s="187"/>
      <c r="BG46" s="187"/>
      <c r="BH46" s="187"/>
      <c r="BI46" s="187"/>
      <c r="BJ46" s="187"/>
      <c r="BK46" s="187"/>
      <c r="BL46" s="187"/>
      <c r="BM46" s="187"/>
      <c r="BN46" s="187"/>
      <c r="BO46" s="187"/>
      <c r="BP46" s="187"/>
    </row>
    <row r="47" spans="1:68">
      <c r="A47" t="s">
        <v>247</v>
      </c>
      <c r="B47" t="s">
        <v>65</v>
      </c>
      <c r="C47" s="192">
        <v>1</v>
      </c>
      <c r="D47" s="192">
        <v>8</v>
      </c>
      <c r="E47" t="s">
        <v>30</v>
      </c>
      <c r="F47" t="s">
        <v>63</v>
      </c>
      <c r="G47" t="s">
        <v>37</v>
      </c>
      <c r="H47" t="s">
        <v>38</v>
      </c>
      <c r="I47" t="s">
        <v>189</v>
      </c>
      <c r="J47" t="s">
        <v>153</v>
      </c>
      <c r="K47" s="194">
        <v>46569</v>
      </c>
      <c r="L47" s="194">
        <v>46752</v>
      </c>
      <c r="M47" t="s">
        <v>92</v>
      </c>
      <c r="N47" t="s">
        <v>116</v>
      </c>
      <c r="O47" s="188"/>
      <c r="P47" s="188"/>
      <c r="Q47" s="188"/>
      <c r="R47" s="188"/>
      <c r="S47" s="188"/>
      <c r="T47" s="188"/>
      <c r="U47" s="188"/>
      <c r="V47" s="188"/>
      <c r="W47" s="188"/>
      <c r="X47" s="188"/>
      <c r="Y47" s="188"/>
      <c r="Z47" s="188"/>
      <c r="AA47" s="188"/>
      <c r="AB47" s="188"/>
      <c r="AC47" s="188"/>
      <c r="AD47" s="188"/>
      <c r="AE47" s="188"/>
      <c r="AF47" s="188"/>
      <c r="AG47" s="188"/>
      <c r="AH47" s="188"/>
      <c r="AI47" s="188"/>
      <c r="AJ47" s="188"/>
      <c r="AK47" s="188"/>
      <c r="AL47" s="188"/>
      <c r="AM47" s="187"/>
      <c r="AN47" s="187"/>
      <c r="AO47" s="187"/>
      <c r="AP47" s="187"/>
      <c r="AQ47" s="187"/>
      <c r="AR47" s="187"/>
      <c r="AS47" s="187"/>
      <c r="AT47" s="187"/>
      <c r="AU47" s="187"/>
      <c r="AV47" s="187"/>
      <c r="AW47" s="187"/>
      <c r="AX47" s="187"/>
      <c r="AY47" s="187"/>
      <c r="AZ47" s="187"/>
      <c r="BA47" s="187"/>
      <c r="BB47" s="187"/>
      <c r="BC47" s="187"/>
      <c r="BD47" s="187"/>
      <c r="BE47" s="187"/>
      <c r="BF47" s="187"/>
      <c r="BG47" s="187"/>
      <c r="BH47" s="187"/>
      <c r="BI47" s="187"/>
      <c r="BJ47" s="187"/>
      <c r="BK47" s="187"/>
      <c r="BL47" s="187"/>
      <c r="BM47" s="187"/>
      <c r="BN47" s="187"/>
      <c r="BO47" s="187"/>
      <c r="BP47" s="187"/>
    </row>
    <row r="48" spans="1:68">
      <c r="A48" t="s">
        <v>250</v>
      </c>
      <c r="B48" t="s">
        <v>65</v>
      </c>
      <c r="C48" s="192">
        <v>1</v>
      </c>
      <c r="D48" s="192">
        <v>7</v>
      </c>
      <c r="E48" t="s">
        <v>30</v>
      </c>
      <c r="F48" t="s">
        <v>63</v>
      </c>
      <c r="G48" t="s">
        <v>37</v>
      </c>
      <c r="H48" t="s">
        <v>38</v>
      </c>
      <c r="I48" t="s">
        <v>189</v>
      </c>
      <c r="J48" t="s">
        <v>153</v>
      </c>
      <c r="K48" s="194">
        <v>46569</v>
      </c>
      <c r="L48" s="194">
        <v>46752</v>
      </c>
      <c r="M48" t="s">
        <v>92</v>
      </c>
      <c r="N48" t="s">
        <v>116</v>
      </c>
      <c r="O48" s="188"/>
      <c r="P48" s="188"/>
      <c r="Q48" s="188"/>
      <c r="R48" s="188"/>
      <c r="S48" s="188"/>
      <c r="T48" s="188"/>
      <c r="U48" s="188"/>
      <c r="V48" s="188"/>
      <c r="W48" s="188"/>
      <c r="X48" s="188"/>
      <c r="Y48" s="188"/>
      <c r="Z48" s="188"/>
      <c r="AA48" s="188"/>
      <c r="AB48" s="188"/>
      <c r="AC48" s="188"/>
      <c r="AD48" s="188"/>
      <c r="AE48" s="188"/>
      <c r="AF48" s="188"/>
      <c r="AG48" s="188"/>
      <c r="AH48" s="188"/>
      <c r="AI48" s="188"/>
      <c r="AJ48" s="188"/>
      <c r="AK48" s="188"/>
      <c r="AL48" s="188"/>
      <c r="AM48" s="187"/>
      <c r="AN48" s="187"/>
      <c r="AO48" s="187"/>
      <c r="AP48" s="187"/>
      <c r="AQ48" s="187"/>
      <c r="AR48" s="187"/>
      <c r="AS48" s="187"/>
      <c r="AT48" s="187"/>
      <c r="AU48" s="187"/>
      <c r="AV48" s="187"/>
      <c r="AW48" s="187"/>
      <c r="AX48" s="187"/>
      <c r="AY48" s="187"/>
      <c r="AZ48" s="187"/>
      <c r="BA48" s="187"/>
      <c r="BB48" s="187"/>
      <c r="BC48" s="187"/>
      <c r="BD48" s="187"/>
      <c r="BE48" s="187"/>
      <c r="BF48" s="187"/>
      <c r="BG48" s="187"/>
      <c r="BH48" s="187"/>
      <c r="BI48" s="187"/>
      <c r="BJ48" s="187"/>
      <c r="BK48" s="187"/>
      <c r="BL48" s="187"/>
      <c r="BM48" s="187"/>
      <c r="BN48" s="187"/>
      <c r="BO48" s="187"/>
      <c r="BP48" s="187"/>
    </row>
    <row r="49" spans="1:68">
      <c r="A49" t="s">
        <v>251</v>
      </c>
      <c r="B49" t="s">
        <v>31</v>
      </c>
      <c r="C49" s="192">
        <v>1</v>
      </c>
      <c r="D49" s="192">
        <v>8</v>
      </c>
      <c r="E49" t="s">
        <v>30</v>
      </c>
      <c r="F49" t="s">
        <v>49</v>
      </c>
      <c r="G49" t="s">
        <v>37</v>
      </c>
      <c r="H49" t="s">
        <v>38</v>
      </c>
      <c r="I49" t="s">
        <v>50</v>
      </c>
      <c r="J49" t="s">
        <v>40</v>
      </c>
      <c r="K49" s="194">
        <v>46266</v>
      </c>
      <c r="L49" s="194">
        <v>46442</v>
      </c>
      <c r="M49" t="s">
        <v>93</v>
      </c>
      <c r="N49">
        <v>3338</v>
      </c>
      <c r="O49" s="188"/>
      <c r="P49" s="188"/>
      <c r="Q49" s="188"/>
      <c r="R49" s="188"/>
      <c r="S49" s="188"/>
      <c r="T49" s="188"/>
      <c r="U49" s="188"/>
      <c r="V49" s="188"/>
      <c r="W49" s="188"/>
      <c r="X49" s="188"/>
      <c r="Y49" s="188"/>
      <c r="Z49" s="188"/>
      <c r="AA49" s="188"/>
      <c r="AB49" s="188"/>
      <c r="AC49" s="188"/>
      <c r="AD49" s="188"/>
      <c r="AE49" s="188"/>
      <c r="AF49" s="188"/>
      <c r="AG49" s="188"/>
      <c r="AH49" s="188"/>
      <c r="AI49" s="188"/>
      <c r="AJ49" s="188"/>
      <c r="AK49" s="188"/>
      <c r="AL49" s="188"/>
      <c r="AM49" s="187"/>
      <c r="AN49" s="187"/>
      <c r="AO49" s="187"/>
      <c r="AP49" s="187"/>
      <c r="AQ49" s="187"/>
      <c r="AR49" s="187"/>
      <c r="AS49" s="187"/>
      <c r="AT49" s="187"/>
      <c r="AU49" s="187"/>
      <c r="AV49" s="187"/>
      <c r="AW49" s="187"/>
      <c r="AX49" s="187"/>
      <c r="AY49" s="187"/>
      <c r="AZ49" s="187"/>
      <c r="BA49" s="187"/>
      <c r="BB49" s="187"/>
      <c r="BC49" s="187"/>
      <c r="BD49" s="187"/>
      <c r="BE49" s="187"/>
      <c r="BF49" s="187"/>
      <c r="BG49" s="187"/>
      <c r="BH49" s="187"/>
      <c r="BI49" s="187"/>
      <c r="BJ49" s="187"/>
      <c r="BK49" s="187"/>
      <c r="BL49" s="187"/>
      <c r="BM49" s="187"/>
      <c r="BN49" s="187"/>
      <c r="BO49" s="187"/>
      <c r="BP49" s="187"/>
    </row>
    <row r="50" spans="1:68">
      <c r="A50" t="s">
        <v>253</v>
      </c>
      <c r="B50" t="s">
        <v>72</v>
      </c>
      <c r="C50" s="192">
        <v>1</v>
      </c>
      <c r="D50" s="192">
        <v>2</v>
      </c>
      <c r="E50" t="s">
        <v>76</v>
      </c>
      <c r="F50" t="s">
        <v>54</v>
      </c>
      <c r="G50" t="s">
        <v>37</v>
      </c>
      <c r="H50" t="s">
        <v>151</v>
      </c>
      <c r="I50" t="s">
        <v>152</v>
      </c>
      <c r="J50" t="s">
        <v>167</v>
      </c>
      <c r="K50" s="194">
        <v>46240</v>
      </c>
      <c r="L50" s="194">
        <v>46559</v>
      </c>
      <c r="M50" t="s">
        <v>96</v>
      </c>
      <c r="N50" t="s">
        <v>116</v>
      </c>
      <c r="O50" s="188"/>
      <c r="P50" s="188"/>
      <c r="Q50" s="188"/>
      <c r="R50" s="188"/>
      <c r="S50" s="188"/>
      <c r="T50" s="188"/>
      <c r="U50" s="188"/>
      <c r="V50" s="188"/>
      <c r="W50" s="188"/>
      <c r="X50" s="188"/>
      <c r="Y50" s="188"/>
      <c r="Z50" s="188"/>
      <c r="AA50" s="188"/>
      <c r="AB50" s="188"/>
      <c r="AC50" s="188"/>
      <c r="AD50" s="188"/>
      <c r="AE50" s="188"/>
      <c r="AF50" s="188"/>
      <c r="AG50" s="188"/>
      <c r="AH50" s="188"/>
      <c r="AI50" s="188"/>
      <c r="AJ50" s="188"/>
      <c r="AK50" s="188"/>
      <c r="AL50" s="188"/>
      <c r="AM50" s="187"/>
      <c r="AN50" s="187"/>
      <c r="AO50" s="187"/>
      <c r="AP50" s="187"/>
      <c r="AQ50" s="187"/>
      <c r="AR50" s="187"/>
      <c r="AS50" s="187"/>
      <c r="AT50" s="187"/>
      <c r="AU50" s="187"/>
      <c r="AV50" s="187"/>
      <c r="AW50" s="187"/>
      <c r="AX50" s="187"/>
      <c r="AY50" s="187"/>
      <c r="AZ50" s="187"/>
      <c r="BA50" s="187"/>
      <c r="BB50" s="187"/>
      <c r="BC50" s="187"/>
      <c r="BD50" s="187"/>
      <c r="BE50" s="187"/>
      <c r="BF50" s="187"/>
      <c r="BG50" s="187"/>
      <c r="BH50" s="187"/>
      <c r="BI50" s="187"/>
      <c r="BJ50" s="187"/>
      <c r="BK50" s="187"/>
      <c r="BL50" s="187"/>
      <c r="BM50" s="187"/>
      <c r="BN50" s="187"/>
      <c r="BO50" s="187"/>
      <c r="BP50" s="187"/>
    </row>
    <row r="51" spans="1:68">
      <c r="A51" t="s">
        <v>258</v>
      </c>
      <c r="B51" t="s">
        <v>70</v>
      </c>
      <c r="C51" s="192">
        <v>1</v>
      </c>
      <c r="D51" s="192">
        <v>3</v>
      </c>
      <c r="E51" t="s">
        <v>30</v>
      </c>
      <c r="F51" t="s">
        <v>63</v>
      </c>
      <c r="G51" t="s">
        <v>37</v>
      </c>
      <c r="H51" t="s">
        <v>151</v>
      </c>
      <c r="I51" t="s">
        <v>262</v>
      </c>
      <c r="J51" t="s">
        <v>167</v>
      </c>
      <c r="K51" s="194">
        <v>46296</v>
      </c>
      <c r="L51" s="194">
        <v>46476</v>
      </c>
      <c r="M51" t="s">
        <v>44</v>
      </c>
      <c r="N51" t="s">
        <v>116</v>
      </c>
      <c r="O51" s="188"/>
      <c r="P51" s="188"/>
      <c r="Q51" s="188"/>
      <c r="R51" s="188"/>
      <c r="S51" s="188"/>
      <c r="T51" s="188"/>
      <c r="U51" s="188"/>
      <c r="V51" s="188"/>
      <c r="W51" s="188"/>
      <c r="X51" s="188"/>
      <c r="Y51" s="188"/>
      <c r="Z51" s="188"/>
      <c r="AA51" s="188"/>
      <c r="AB51" s="188"/>
      <c r="AC51" s="188"/>
      <c r="AD51" s="188"/>
      <c r="AE51" s="188"/>
      <c r="AF51" s="188"/>
      <c r="AG51" s="188"/>
      <c r="AH51" s="188"/>
      <c r="AI51" s="188"/>
      <c r="AJ51" s="188"/>
      <c r="AK51" s="188"/>
      <c r="AL51" s="188"/>
      <c r="AM51" s="187"/>
      <c r="AN51" s="187"/>
      <c r="AO51" s="187"/>
      <c r="AP51" s="187"/>
      <c r="AQ51" s="187"/>
      <c r="AR51" s="187"/>
      <c r="AS51" s="187"/>
      <c r="AT51" s="187"/>
      <c r="AU51" s="187"/>
      <c r="AV51" s="187"/>
      <c r="AW51" s="187"/>
      <c r="AX51" s="187"/>
      <c r="AY51" s="187"/>
      <c r="AZ51" s="187"/>
      <c r="BA51" s="187"/>
      <c r="BB51" s="187"/>
      <c r="BC51" s="187"/>
      <c r="BD51" s="187"/>
      <c r="BE51" s="187"/>
      <c r="BF51" s="187"/>
      <c r="BG51" s="187"/>
      <c r="BH51" s="187"/>
      <c r="BI51" s="187"/>
      <c r="BJ51" s="187"/>
      <c r="BK51" s="187"/>
      <c r="BL51" s="187"/>
      <c r="BM51" s="187"/>
      <c r="BN51" s="187"/>
      <c r="BO51" s="187"/>
      <c r="BP51" s="187"/>
    </row>
    <row r="52" spans="1:68">
      <c r="A52" t="s">
        <v>263</v>
      </c>
      <c r="B52" t="s">
        <v>66</v>
      </c>
      <c r="C52" s="192">
        <v>1</v>
      </c>
      <c r="D52" s="192">
        <v>38</v>
      </c>
      <c r="E52" t="s">
        <v>76</v>
      </c>
      <c r="F52" t="s">
        <v>54</v>
      </c>
      <c r="G52" t="s">
        <v>37</v>
      </c>
      <c r="H52" t="s">
        <v>38</v>
      </c>
      <c r="I52" t="s">
        <v>189</v>
      </c>
      <c r="J52" t="s">
        <v>123</v>
      </c>
      <c r="K52" s="194">
        <v>46566</v>
      </c>
      <c r="L52" s="194">
        <v>46885</v>
      </c>
      <c r="M52" t="s">
        <v>100</v>
      </c>
      <c r="N52">
        <v>3244</v>
      </c>
      <c r="O52" s="188"/>
      <c r="P52" s="188"/>
      <c r="Q52" s="188"/>
      <c r="R52" s="188"/>
      <c r="S52" s="188"/>
      <c r="T52" s="188"/>
      <c r="U52" s="188"/>
      <c r="V52" s="188"/>
      <c r="W52" s="188"/>
      <c r="X52" s="188"/>
      <c r="Y52" s="188"/>
      <c r="Z52" s="188"/>
      <c r="AA52" s="188"/>
      <c r="AB52" s="188"/>
      <c r="AC52" s="188"/>
      <c r="AD52" s="188"/>
      <c r="AE52" s="188"/>
      <c r="AF52" s="188"/>
      <c r="AG52" s="188"/>
      <c r="AH52" s="188"/>
      <c r="AI52" s="188"/>
      <c r="AJ52" s="188"/>
      <c r="AK52" s="188"/>
      <c r="AL52" s="188"/>
      <c r="AM52" s="187"/>
      <c r="AN52" s="187"/>
      <c r="AO52" s="187"/>
      <c r="AP52" s="187"/>
      <c r="AQ52" s="187"/>
      <c r="AR52" s="187"/>
      <c r="AS52" s="187"/>
      <c r="AT52" s="187"/>
      <c r="AU52" s="187"/>
      <c r="AV52" s="187"/>
      <c r="AW52" s="187"/>
      <c r="AX52" s="187"/>
      <c r="AY52" s="187"/>
      <c r="AZ52" s="187"/>
      <c r="BA52" s="187"/>
      <c r="BB52" s="187"/>
      <c r="BC52" s="187"/>
      <c r="BD52" s="187"/>
      <c r="BE52" s="187"/>
      <c r="BF52" s="187"/>
      <c r="BG52" s="187"/>
      <c r="BH52" s="187"/>
      <c r="BI52" s="187"/>
      <c r="BJ52" s="187"/>
      <c r="BK52" s="187"/>
      <c r="BL52" s="187"/>
      <c r="BM52" s="187"/>
      <c r="BN52" s="187"/>
      <c r="BO52" s="187"/>
      <c r="BP52" s="187"/>
    </row>
    <row r="53" spans="1:68">
      <c r="A53" t="s">
        <v>265</v>
      </c>
      <c r="B53" t="s">
        <v>66</v>
      </c>
      <c r="C53" s="192">
        <v>1</v>
      </c>
      <c r="D53" s="192">
        <v>23</v>
      </c>
      <c r="E53" t="s">
        <v>76</v>
      </c>
      <c r="F53" t="s">
        <v>36</v>
      </c>
      <c r="G53" t="s">
        <v>37</v>
      </c>
      <c r="H53" t="s">
        <v>151</v>
      </c>
      <c r="I53" t="s">
        <v>267</v>
      </c>
      <c r="J53" t="s">
        <v>123</v>
      </c>
      <c r="K53" s="194">
        <v>46272</v>
      </c>
      <c r="L53" s="194">
        <v>46590</v>
      </c>
      <c r="M53" t="s">
        <v>97</v>
      </c>
      <c r="N53">
        <v>3238</v>
      </c>
      <c r="O53" s="188"/>
      <c r="P53" s="188"/>
      <c r="Q53" s="188"/>
      <c r="R53" s="188"/>
      <c r="S53" s="188"/>
      <c r="T53" s="188"/>
      <c r="U53" s="188"/>
      <c r="V53" s="188"/>
      <c r="W53" s="188"/>
      <c r="X53" s="188"/>
      <c r="Y53" s="188"/>
      <c r="Z53" s="188"/>
      <c r="AA53" s="188"/>
      <c r="AB53" s="188"/>
      <c r="AC53" s="188"/>
      <c r="AD53" s="188"/>
      <c r="AE53" s="188"/>
      <c r="AF53" s="188"/>
      <c r="AG53" s="188"/>
      <c r="AH53" s="188"/>
      <c r="AI53" s="188"/>
      <c r="AJ53" s="188"/>
      <c r="AK53" s="188"/>
      <c r="AL53" s="188"/>
      <c r="AM53" s="187"/>
      <c r="AN53" s="187"/>
      <c r="AO53" s="187"/>
      <c r="AP53" s="187"/>
      <c r="AQ53" s="187"/>
      <c r="AR53" s="187"/>
      <c r="AS53" s="187"/>
      <c r="AT53" s="187"/>
      <c r="AU53" s="187"/>
      <c r="AV53" s="187"/>
      <c r="AW53" s="187"/>
      <c r="AX53" s="187"/>
      <c r="AY53" s="187"/>
      <c r="AZ53" s="187"/>
      <c r="BA53" s="187"/>
      <c r="BB53" s="187"/>
      <c r="BC53" s="187"/>
      <c r="BD53" s="187"/>
      <c r="BE53" s="187"/>
      <c r="BF53" s="187"/>
      <c r="BG53" s="187"/>
      <c r="BH53" s="187"/>
      <c r="BI53" s="187"/>
      <c r="BJ53" s="187"/>
      <c r="BK53" s="187"/>
      <c r="BL53" s="187"/>
      <c r="BM53" s="187"/>
      <c r="BN53" s="187"/>
      <c r="BO53" s="187"/>
      <c r="BP53" s="187"/>
    </row>
    <row r="54" spans="1:68">
      <c r="A54" t="s">
        <v>269</v>
      </c>
      <c r="B54" t="s">
        <v>68</v>
      </c>
      <c r="C54" s="192">
        <v>1</v>
      </c>
      <c r="D54" s="192">
        <v>9</v>
      </c>
      <c r="E54" t="s">
        <v>30</v>
      </c>
      <c r="F54" t="s">
        <v>63</v>
      </c>
      <c r="G54" t="s">
        <v>37</v>
      </c>
      <c r="H54" t="s">
        <v>38</v>
      </c>
      <c r="I54" t="s">
        <v>131</v>
      </c>
      <c r="J54" t="s">
        <v>132</v>
      </c>
      <c r="K54" s="194">
        <v>46237</v>
      </c>
      <c r="L54" s="194">
        <v>46414</v>
      </c>
      <c r="M54" t="s">
        <v>89</v>
      </c>
      <c r="N54" t="s">
        <v>116</v>
      </c>
      <c r="O54" s="188"/>
      <c r="P54" s="188"/>
      <c r="Q54" s="188"/>
      <c r="R54" s="188"/>
      <c r="S54" s="188"/>
      <c r="T54" s="188"/>
      <c r="U54" s="188"/>
      <c r="V54" s="188"/>
      <c r="W54" s="188"/>
      <c r="X54" s="188"/>
      <c r="Y54" s="188"/>
      <c r="Z54" s="188"/>
      <c r="AA54" s="188"/>
      <c r="AB54" s="188"/>
      <c r="AC54" s="188"/>
      <c r="AD54" s="188"/>
      <c r="AE54" s="188"/>
      <c r="AF54" s="188"/>
      <c r="AG54" s="188"/>
      <c r="AH54" s="188"/>
      <c r="AI54" s="188"/>
      <c r="AJ54" s="188"/>
      <c r="AK54" s="188"/>
      <c r="AL54" s="188"/>
      <c r="AM54" s="187"/>
      <c r="AN54" s="187"/>
      <c r="AO54" s="187"/>
      <c r="AP54" s="187"/>
      <c r="AQ54" s="187"/>
      <c r="AR54" s="187"/>
      <c r="AS54" s="187"/>
      <c r="AT54" s="187"/>
      <c r="AU54" s="187"/>
      <c r="AV54" s="187"/>
      <c r="AW54" s="187"/>
      <c r="AX54" s="187"/>
      <c r="AY54" s="187"/>
      <c r="AZ54" s="187"/>
      <c r="BA54" s="187"/>
      <c r="BB54" s="187"/>
      <c r="BC54" s="187"/>
      <c r="BD54" s="187"/>
      <c r="BE54" s="187"/>
      <c r="BF54" s="187"/>
      <c r="BG54" s="187"/>
      <c r="BH54" s="187"/>
      <c r="BI54" s="187"/>
      <c r="BJ54" s="187"/>
      <c r="BK54" s="187"/>
      <c r="BL54" s="187"/>
      <c r="BM54" s="187"/>
      <c r="BN54" s="187"/>
      <c r="BO54" s="187"/>
      <c r="BP54" s="187"/>
    </row>
    <row r="55" spans="1:68">
      <c r="A55" t="s">
        <v>270</v>
      </c>
      <c r="B55" t="s">
        <v>68</v>
      </c>
      <c r="C55" s="192">
        <v>1</v>
      </c>
      <c r="D55" s="192">
        <v>2</v>
      </c>
      <c r="E55" t="s">
        <v>74</v>
      </c>
      <c r="F55" t="s">
        <v>36</v>
      </c>
      <c r="G55" t="s">
        <v>37</v>
      </c>
      <c r="H55" t="s">
        <v>38</v>
      </c>
      <c r="I55" t="s">
        <v>131</v>
      </c>
      <c r="J55" t="s">
        <v>132</v>
      </c>
      <c r="K55" s="194">
        <v>46237</v>
      </c>
      <c r="L55" s="194">
        <v>46344</v>
      </c>
      <c r="M55" t="s">
        <v>86</v>
      </c>
      <c r="N55">
        <v>3253</v>
      </c>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7"/>
      <c r="AN55" s="187"/>
      <c r="AO55" s="187"/>
      <c r="AP55" s="187"/>
      <c r="AQ55" s="187"/>
      <c r="AR55" s="187"/>
      <c r="AS55" s="187"/>
      <c r="AT55" s="187"/>
      <c r="AU55" s="187"/>
      <c r="AV55" s="187"/>
      <c r="AW55" s="187"/>
      <c r="AX55" s="187"/>
      <c r="AY55" s="187"/>
      <c r="AZ55" s="187"/>
      <c r="BA55" s="187"/>
      <c r="BB55" s="187"/>
      <c r="BC55" s="187"/>
      <c r="BD55" s="187"/>
      <c r="BE55" s="187"/>
      <c r="BF55" s="187"/>
      <c r="BG55" s="187"/>
      <c r="BH55" s="187"/>
      <c r="BI55" s="187"/>
      <c r="BJ55" s="187"/>
      <c r="BK55" s="187"/>
      <c r="BL55" s="187"/>
      <c r="BM55" s="187"/>
      <c r="BN55" s="187"/>
      <c r="BO55" s="187"/>
      <c r="BP55" s="187"/>
    </row>
    <row r="56" spans="1:68">
      <c r="A56" t="s">
        <v>271</v>
      </c>
      <c r="B56" t="s">
        <v>31</v>
      </c>
      <c r="C56" s="192">
        <v>1</v>
      </c>
      <c r="D56" s="192">
        <v>3</v>
      </c>
      <c r="E56" t="s">
        <v>47</v>
      </c>
      <c r="F56" t="s">
        <v>36</v>
      </c>
      <c r="G56" t="s">
        <v>37</v>
      </c>
      <c r="H56" t="s">
        <v>38</v>
      </c>
      <c r="I56" t="s">
        <v>50</v>
      </c>
      <c r="J56" t="s">
        <v>40</v>
      </c>
      <c r="K56" s="194">
        <v>46235</v>
      </c>
      <c r="L56" s="194">
        <v>46498</v>
      </c>
      <c r="M56" t="s">
        <v>94</v>
      </c>
      <c r="N56">
        <v>3198</v>
      </c>
      <c r="O56" s="188"/>
      <c r="P56" s="188"/>
      <c r="Q56" s="188"/>
      <c r="R56" s="188"/>
      <c r="S56" s="188"/>
      <c r="T56" s="188"/>
      <c r="U56" s="188"/>
      <c r="V56" s="188"/>
      <c r="W56" s="188"/>
      <c r="X56" s="188"/>
      <c r="Y56" s="188"/>
      <c r="Z56" s="188"/>
      <c r="AA56" s="188"/>
      <c r="AB56" s="188"/>
      <c r="AC56" s="188"/>
      <c r="AD56" s="188"/>
      <c r="AE56" s="188"/>
      <c r="AF56" s="188"/>
      <c r="AG56" s="188"/>
      <c r="AH56" s="188"/>
      <c r="AI56" s="188"/>
      <c r="AJ56" s="188"/>
      <c r="AK56" s="188"/>
      <c r="AL56" s="188"/>
      <c r="AM56" s="187"/>
      <c r="AN56" s="187"/>
      <c r="AO56" s="187"/>
      <c r="AP56" s="187"/>
      <c r="AQ56" s="187"/>
      <c r="AR56" s="187"/>
      <c r="AS56" s="187"/>
      <c r="AT56" s="187"/>
      <c r="AU56" s="187"/>
      <c r="AV56" s="187"/>
      <c r="AW56" s="187"/>
      <c r="AX56" s="187"/>
      <c r="AY56" s="187"/>
      <c r="AZ56" s="187"/>
      <c r="BA56" s="187"/>
      <c r="BB56" s="187"/>
      <c r="BC56" s="187"/>
      <c r="BD56" s="187"/>
      <c r="BE56" s="187"/>
      <c r="BF56" s="187"/>
      <c r="BG56" s="187"/>
      <c r="BH56" s="187"/>
      <c r="BI56" s="187"/>
      <c r="BJ56" s="187"/>
      <c r="BK56" s="187"/>
      <c r="BL56" s="187"/>
      <c r="BM56" s="187"/>
      <c r="BN56" s="187"/>
      <c r="BO56" s="187"/>
      <c r="BP56" s="187"/>
    </row>
    <row r="57" spans="1:68">
      <c r="A57" t="s">
        <v>272</v>
      </c>
      <c r="B57" t="s">
        <v>31</v>
      </c>
      <c r="C57" s="192">
        <v>1</v>
      </c>
      <c r="D57" s="192">
        <v>3</v>
      </c>
      <c r="E57" t="s">
        <v>47</v>
      </c>
      <c r="F57" t="s">
        <v>36</v>
      </c>
      <c r="G57" t="s">
        <v>37</v>
      </c>
      <c r="H57" t="s">
        <v>38</v>
      </c>
      <c r="I57" t="s">
        <v>50</v>
      </c>
      <c r="J57" t="s">
        <v>40</v>
      </c>
      <c r="K57" s="194">
        <v>46235</v>
      </c>
      <c r="L57" s="194">
        <v>46498</v>
      </c>
      <c r="M57" t="s">
        <v>94</v>
      </c>
      <c r="N57">
        <v>3199</v>
      </c>
      <c r="O57" s="188"/>
      <c r="P57" s="188"/>
      <c r="Q57" s="188"/>
      <c r="R57" s="188"/>
      <c r="S57" s="188"/>
      <c r="T57" s="188"/>
      <c r="U57" s="188"/>
      <c r="V57" s="188"/>
      <c r="W57" s="188"/>
      <c r="X57" s="188"/>
      <c r="Y57" s="188"/>
      <c r="Z57" s="188"/>
      <c r="AA57" s="188"/>
      <c r="AB57" s="188"/>
      <c r="AC57" s="188"/>
      <c r="AD57" s="188"/>
      <c r="AE57" s="188"/>
      <c r="AF57" s="188"/>
      <c r="AG57" s="188"/>
      <c r="AH57" s="188"/>
      <c r="AI57" s="188"/>
      <c r="AJ57" s="188"/>
      <c r="AK57" s="188"/>
      <c r="AL57" s="188"/>
      <c r="AM57" s="187"/>
      <c r="AN57" s="187"/>
      <c r="AO57" s="187"/>
      <c r="AP57" s="187"/>
      <c r="AQ57" s="187"/>
      <c r="AR57" s="187"/>
      <c r="AS57" s="187"/>
      <c r="AT57" s="187"/>
      <c r="AU57" s="187"/>
      <c r="AV57" s="187"/>
      <c r="AW57" s="187"/>
      <c r="AX57" s="187"/>
      <c r="AY57" s="187"/>
      <c r="AZ57" s="187"/>
      <c r="BA57" s="187"/>
      <c r="BB57" s="187"/>
      <c r="BC57" s="187"/>
      <c r="BD57" s="187"/>
      <c r="BE57" s="187"/>
      <c r="BF57" s="187"/>
      <c r="BG57" s="187"/>
      <c r="BH57" s="187"/>
      <c r="BI57" s="187"/>
      <c r="BJ57" s="187"/>
      <c r="BK57" s="187"/>
      <c r="BL57" s="187"/>
      <c r="BM57" s="187"/>
      <c r="BN57" s="187"/>
      <c r="BO57" s="187"/>
      <c r="BP57" s="187"/>
    </row>
    <row r="58" spans="1:68">
      <c r="A58" t="s">
        <v>273</v>
      </c>
      <c r="B58" t="s">
        <v>65</v>
      </c>
      <c r="C58" s="192">
        <v>1</v>
      </c>
      <c r="D58" s="192">
        <v>2</v>
      </c>
      <c r="E58" t="s">
        <v>47</v>
      </c>
      <c r="F58" t="s">
        <v>63</v>
      </c>
      <c r="G58" t="s">
        <v>37</v>
      </c>
      <c r="H58" t="s">
        <v>38</v>
      </c>
      <c r="I58" t="s">
        <v>166</v>
      </c>
      <c r="J58" t="s">
        <v>153</v>
      </c>
      <c r="K58" s="194">
        <v>46237</v>
      </c>
      <c r="L58" s="194">
        <v>46499</v>
      </c>
      <c r="M58" t="s">
        <v>94</v>
      </c>
      <c r="N58">
        <v>3352</v>
      </c>
      <c r="O58" s="188"/>
      <c r="P58" s="188"/>
      <c r="Q58" s="188"/>
      <c r="R58" s="188"/>
      <c r="S58" s="188"/>
      <c r="T58" s="188"/>
      <c r="U58" s="188"/>
      <c r="V58" s="188"/>
      <c r="W58" s="188"/>
      <c r="X58" s="188"/>
      <c r="Y58" s="188"/>
      <c r="Z58" s="188"/>
      <c r="AA58" s="188"/>
      <c r="AB58" s="188"/>
      <c r="AC58" s="188"/>
      <c r="AD58" s="188"/>
      <c r="AE58" s="188"/>
      <c r="AF58" s="188"/>
      <c r="AG58" s="188"/>
      <c r="AH58" s="188"/>
      <c r="AI58" s="188"/>
      <c r="AJ58" s="188"/>
      <c r="AK58" s="188"/>
      <c r="AL58" s="188"/>
      <c r="AM58" s="187"/>
      <c r="AN58" s="187"/>
      <c r="AO58" s="187"/>
      <c r="AP58" s="187"/>
      <c r="AQ58" s="187"/>
      <c r="AR58" s="187"/>
      <c r="AS58" s="187"/>
      <c r="AT58" s="187"/>
      <c r="AU58" s="187"/>
      <c r="AV58" s="187"/>
      <c r="AW58" s="187"/>
      <c r="AX58" s="187"/>
      <c r="AY58" s="187"/>
      <c r="AZ58" s="187"/>
      <c r="BA58" s="187"/>
      <c r="BB58" s="187"/>
      <c r="BC58" s="187"/>
      <c r="BD58" s="187"/>
      <c r="BE58" s="187"/>
      <c r="BF58" s="187"/>
      <c r="BG58" s="187"/>
      <c r="BH58" s="187"/>
      <c r="BI58" s="187"/>
      <c r="BJ58" s="187"/>
      <c r="BK58" s="187"/>
      <c r="BL58" s="187"/>
      <c r="BM58" s="187"/>
      <c r="BN58" s="187"/>
      <c r="BO58" s="187"/>
      <c r="BP58" s="187"/>
    </row>
    <row r="59" spans="1:68">
      <c r="A59" t="s">
        <v>277</v>
      </c>
      <c r="B59" t="s">
        <v>66</v>
      </c>
      <c r="C59" s="192">
        <v>1</v>
      </c>
      <c r="D59" s="192">
        <v>34</v>
      </c>
      <c r="E59" t="s">
        <v>30</v>
      </c>
      <c r="F59" t="s">
        <v>62</v>
      </c>
      <c r="G59" t="s">
        <v>37</v>
      </c>
      <c r="H59" t="s">
        <v>38</v>
      </c>
      <c r="I59" t="s">
        <v>280</v>
      </c>
      <c r="J59" t="s">
        <v>123</v>
      </c>
      <c r="K59" s="194">
        <v>46237</v>
      </c>
      <c r="L59" s="194">
        <v>46414</v>
      </c>
      <c r="M59" t="s">
        <v>89</v>
      </c>
      <c r="N59">
        <v>3235</v>
      </c>
      <c r="O59" s="188"/>
      <c r="P59" s="188"/>
      <c r="Q59" s="188"/>
      <c r="R59" s="188"/>
      <c r="S59" s="188"/>
      <c r="T59" s="188"/>
      <c r="U59" s="188"/>
      <c r="V59" s="188"/>
      <c r="W59" s="188"/>
      <c r="X59" s="188"/>
      <c r="Y59" s="188"/>
      <c r="Z59" s="188"/>
      <c r="AA59" s="188"/>
      <c r="AB59" s="188"/>
      <c r="AC59" s="188"/>
      <c r="AD59" s="188"/>
      <c r="AE59" s="188"/>
      <c r="AF59" s="188"/>
      <c r="AG59" s="188"/>
      <c r="AH59" s="188"/>
      <c r="AI59" s="188"/>
      <c r="AJ59" s="188"/>
      <c r="AK59" s="188"/>
      <c r="AL59" s="188"/>
      <c r="AM59" s="187"/>
      <c r="AN59" s="187"/>
      <c r="AO59" s="187"/>
      <c r="AP59" s="187"/>
      <c r="AQ59" s="187"/>
      <c r="AR59" s="187"/>
      <c r="AS59" s="187"/>
      <c r="AT59" s="187"/>
      <c r="AU59" s="187"/>
      <c r="AV59" s="187"/>
      <c r="AW59" s="187"/>
      <c r="AX59" s="187"/>
      <c r="AY59" s="187"/>
      <c r="AZ59" s="187"/>
      <c r="BA59" s="187"/>
      <c r="BB59" s="187"/>
      <c r="BC59" s="187"/>
      <c r="BD59" s="187"/>
      <c r="BE59" s="187"/>
      <c r="BF59" s="187"/>
      <c r="BG59" s="187"/>
      <c r="BH59" s="187"/>
      <c r="BI59" s="187"/>
      <c r="BJ59" s="187"/>
      <c r="BK59" s="187"/>
      <c r="BL59" s="187"/>
      <c r="BM59" s="187"/>
      <c r="BN59" s="187"/>
      <c r="BO59" s="187"/>
      <c r="BP59" s="187"/>
    </row>
    <row r="60" spans="1:68">
      <c r="A60" t="s">
        <v>281</v>
      </c>
      <c r="B60" t="s">
        <v>31</v>
      </c>
      <c r="C60" s="192">
        <v>1</v>
      </c>
      <c r="D60" s="192">
        <v>6</v>
      </c>
      <c r="E60" t="s">
        <v>30</v>
      </c>
      <c r="F60" t="s">
        <v>49</v>
      </c>
      <c r="G60" t="s">
        <v>37</v>
      </c>
      <c r="H60" t="s">
        <v>38</v>
      </c>
      <c r="I60" t="s">
        <v>50</v>
      </c>
      <c r="J60" t="s">
        <v>40</v>
      </c>
      <c r="K60" s="194">
        <v>46280</v>
      </c>
      <c r="L60" s="194">
        <v>46456</v>
      </c>
      <c r="M60" t="s">
        <v>44</v>
      </c>
      <c r="N60">
        <v>3334</v>
      </c>
      <c r="O60" s="188"/>
      <c r="P60" s="188"/>
      <c r="Q60" s="188"/>
      <c r="R60" s="188"/>
      <c r="S60" s="188"/>
      <c r="T60" s="188"/>
      <c r="U60" s="188"/>
      <c r="V60" s="188"/>
      <c r="W60" s="188"/>
      <c r="X60" s="188"/>
      <c r="Y60" s="188"/>
      <c r="Z60" s="188"/>
      <c r="AA60" s="188"/>
      <c r="AB60" s="188"/>
      <c r="AC60" s="188"/>
      <c r="AD60" s="188"/>
      <c r="AE60" s="188"/>
      <c r="AF60" s="188"/>
      <c r="AG60" s="188"/>
      <c r="AH60" s="188"/>
      <c r="AI60" s="188"/>
      <c r="AJ60" s="188"/>
      <c r="AK60" s="188"/>
      <c r="AL60" s="188"/>
      <c r="AM60" s="187"/>
      <c r="AN60" s="187"/>
      <c r="AO60" s="187"/>
      <c r="AP60" s="187"/>
      <c r="AQ60" s="187"/>
      <c r="AR60" s="187"/>
      <c r="AS60" s="187"/>
      <c r="AT60" s="187"/>
      <c r="AU60" s="187"/>
      <c r="AV60" s="187"/>
      <c r="AW60" s="187"/>
      <c r="AX60" s="187"/>
      <c r="AY60" s="187"/>
      <c r="AZ60" s="187"/>
      <c r="BA60" s="187"/>
      <c r="BB60" s="187"/>
      <c r="BC60" s="187"/>
      <c r="BD60" s="187"/>
      <c r="BE60" s="187"/>
      <c r="BF60" s="187"/>
      <c r="BG60" s="187"/>
      <c r="BH60" s="187"/>
      <c r="BI60" s="187"/>
      <c r="BJ60" s="187"/>
      <c r="BK60" s="187"/>
      <c r="BL60" s="187"/>
      <c r="BM60" s="187"/>
      <c r="BN60" s="187"/>
      <c r="BO60" s="187"/>
      <c r="BP60" s="187"/>
    </row>
    <row r="61" spans="1:68">
      <c r="A61" t="s">
        <v>283</v>
      </c>
      <c r="B61" t="s">
        <v>31</v>
      </c>
      <c r="C61" s="192">
        <v>1</v>
      </c>
      <c r="D61" s="192">
        <v>1</v>
      </c>
      <c r="E61" t="s">
        <v>74</v>
      </c>
      <c r="F61" t="s">
        <v>63</v>
      </c>
      <c r="G61" t="s">
        <v>37</v>
      </c>
      <c r="H61" t="s">
        <v>55</v>
      </c>
      <c r="I61" t="s">
        <v>56</v>
      </c>
      <c r="J61" t="s">
        <v>40</v>
      </c>
      <c r="K61" s="194">
        <v>46174</v>
      </c>
      <c r="L61" s="194">
        <v>46286</v>
      </c>
      <c r="M61" t="s">
        <v>88</v>
      </c>
      <c r="N61">
        <v>3325</v>
      </c>
      <c r="O61" s="188"/>
      <c r="P61" s="188"/>
      <c r="Q61" s="188"/>
      <c r="R61" s="188"/>
      <c r="S61" s="188"/>
      <c r="T61" s="188"/>
      <c r="U61" s="188"/>
      <c r="V61" s="188"/>
      <c r="W61" s="188"/>
      <c r="X61" s="188"/>
      <c r="Y61" s="188"/>
      <c r="Z61" s="188"/>
      <c r="AA61" s="188"/>
      <c r="AB61" s="188"/>
      <c r="AC61" s="188"/>
      <c r="AD61" s="188"/>
      <c r="AE61" s="188"/>
      <c r="AF61" s="188"/>
      <c r="AG61" s="188"/>
      <c r="AH61" s="188"/>
      <c r="AI61" s="188"/>
      <c r="AJ61" s="188"/>
      <c r="AK61" s="188"/>
      <c r="AL61" s="188"/>
      <c r="AM61" s="187"/>
      <c r="AN61" s="187"/>
      <c r="AO61" s="187"/>
      <c r="AP61" s="187"/>
      <c r="AQ61" s="187"/>
      <c r="AR61" s="187"/>
      <c r="AS61" s="187"/>
      <c r="AT61" s="187"/>
      <c r="AU61" s="187"/>
      <c r="AV61" s="187"/>
      <c r="AW61" s="187"/>
      <c r="AX61" s="187"/>
      <c r="AY61" s="187"/>
      <c r="AZ61" s="187"/>
      <c r="BA61" s="187"/>
      <c r="BB61" s="187"/>
      <c r="BC61" s="187"/>
      <c r="BD61" s="187"/>
      <c r="BE61" s="187"/>
      <c r="BF61" s="187"/>
      <c r="BG61" s="187"/>
      <c r="BH61" s="187"/>
      <c r="BI61" s="187"/>
      <c r="BJ61" s="187"/>
      <c r="BK61" s="187"/>
      <c r="BL61" s="187"/>
      <c r="BM61" s="187"/>
      <c r="BN61" s="187"/>
      <c r="BO61" s="187"/>
      <c r="BP61" s="187"/>
    </row>
    <row r="62" spans="1:68">
      <c r="A62" t="s">
        <v>284</v>
      </c>
      <c r="B62" t="s">
        <v>66</v>
      </c>
      <c r="C62" s="192">
        <v>1</v>
      </c>
      <c r="D62" s="192">
        <v>28</v>
      </c>
      <c r="E62" t="s">
        <v>30</v>
      </c>
      <c r="F62" t="s">
        <v>54</v>
      </c>
      <c r="G62" t="s">
        <v>37</v>
      </c>
      <c r="H62" t="s">
        <v>151</v>
      </c>
      <c r="I62" t="s">
        <v>287</v>
      </c>
      <c r="J62" t="s">
        <v>123</v>
      </c>
      <c r="K62" s="194">
        <v>46209</v>
      </c>
      <c r="L62" s="194">
        <v>46391</v>
      </c>
      <c r="M62" t="s">
        <v>87</v>
      </c>
      <c r="N62">
        <v>3228</v>
      </c>
      <c r="O62" s="188"/>
      <c r="P62" s="188"/>
      <c r="Q62" s="188"/>
      <c r="R62" s="188"/>
      <c r="S62" s="188"/>
      <c r="T62" s="188"/>
      <c r="U62" s="188"/>
      <c r="V62" s="188"/>
      <c r="W62" s="188"/>
      <c r="X62" s="188"/>
      <c r="Y62" s="188"/>
      <c r="Z62" s="188"/>
      <c r="AA62" s="188"/>
      <c r="AB62" s="188"/>
      <c r="AC62" s="188"/>
      <c r="AD62" s="188"/>
      <c r="AE62" s="188"/>
      <c r="AF62" s="188"/>
      <c r="AG62" s="188"/>
      <c r="AH62" s="188"/>
      <c r="AI62" s="188"/>
      <c r="AJ62" s="188"/>
      <c r="AK62" s="188"/>
      <c r="AL62" s="188"/>
      <c r="AM62" s="187"/>
      <c r="AN62" s="187"/>
      <c r="AO62" s="187"/>
      <c r="AP62" s="187"/>
      <c r="AQ62" s="187"/>
      <c r="AR62" s="187"/>
      <c r="AS62" s="187"/>
      <c r="AT62" s="187"/>
      <c r="AU62" s="187"/>
      <c r="AV62" s="187"/>
      <c r="AW62" s="187"/>
      <c r="AX62" s="187"/>
      <c r="AY62" s="187"/>
      <c r="AZ62" s="187"/>
      <c r="BA62" s="187"/>
      <c r="BB62" s="187"/>
      <c r="BC62" s="187"/>
      <c r="BD62" s="187"/>
      <c r="BE62" s="187"/>
      <c r="BF62" s="187"/>
      <c r="BG62" s="187"/>
      <c r="BH62" s="187"/>
      <c r="BI62" s="187"/>
      <c r="BJ62" s="187"/>
      <c r="BK62" s="187"/>
      <c r="BL62" s="187"/>
      <c r="BM62" s="187"/>
      <c r="BN62" s="187"/>
      <c r="BO62" s="187"/>
      <c r="BP62" s="187"/>
    </row>
    <row r="63" spans="1:68">
      <c r="A63" t="s">
        <v>288</v>
      </c>
      <c r="B63" t="s">
        <v>31</v>
      </c>
      <c r="C63" s="192">
        <v>1</v>
      </c>
      <c r="D63" s="192">
        <v>7</v>
      </c>
      <c r="E63" t="s">
        <v>30</v>
      </c>
      <c r="F63" t="s">
        <v>36</v>
      </c>
      <c r="G63" t="s">
        <v>37</v>
      </c>
      <c r="H63" t="s">
        <v>38</v>
      </c>
      <c r="I63" t="s">
        <v>50</v>
      </c>
      <c r="J63" t="s">
        <v>40</v>
      </c>
      <c r="K63" s="194">
        <v>46204</v>
      </c>
      <c r="L63" s="194">
        <v>46385</v>
      </c>
      <c r="M63" t="s">
        <v>87</v>
      </c>
      <c r="N63">
        <v>3335</v>
      </c>
      <c r="O63" s="188"/>
      <c r="P63" s="188"/>
      <c r="Q63" s="188"/>
      <c r="R63" s="188"/>
      <c r="S63" s="188"/>
      <c r="T63" s="188"/>
      <c r="U63" s="188"/>
      <c r="V63" s="188"/>
      <c r="W63" s="188"/>
      <c r="X63" s="188"/>
      <c r="Y63" s="188"/>
      <c r="Z63" s="188"/>
      <c r="AA63" s="188"/>
      <c r="AB63" s="188"/>
      <c r="AC63" s="188"/>
      <c r="AD63" s="188"/>
      <c r="AE63" s="188"/>
      <c r="AF63" s="188"/>
      <c r="AG63" s="188"/>
      <c r="AH63" s="188"/>
      <c r="AI63" s="188"/>
      <c r="AJ63" s="188"/>
      <c r="AK63" s="188"/>
      <c r="AL63" s="188"/>
      <c r="AM63" s="187"/>
      <c r="AN63" s="187"/>
      <c r="AO63" s="187"/>
      <c r="AP63" s="187"/>
      <c r="AQ63" s="187"/>
      <c r="AR63" s="187"/>
      <c r="AS63" s="187"/>
      <c r="AT63" s="187"/>
      <c r="AU63" s="187"/>
      <c r="AV63" s="187"/>
      <c r="AW63" s="187"/>
      <c r="AX63" s="187"/>
      <c r="AY63" s="187"/>
      <c r="AZ63" s="187"/>
      <c r="BA63" s="187"/>
      <c r="BB63" s="187"/>
      <c r="BC63" s="187"/>
      <c r="BD63" s="187"/>
      <c r="BE63" s="187"/>
      <c r="BF63" s="187"/>
      <c r="BG63" s="187"/>
      <c r="BH63" s="187"/>
      <c r="BI63" s="187"/>
      <c r="BJ63" s="187"/>
      <c r="BK63" s="187"/>
      <c r="BL63" s="187"/>
      <c r="BM63" s="187"/>
      <c r="BN63" s="187"/>
      <c r="BO63" s="187"/>
      <c r="BP63" s="187"/>
    </row>
    <row r="64" spans="1:68">
      <c r="A64" t="s">
        <v>289</v>
      </c>
      <c r="B64" t="s">
        <v>31</v>
      </c>
      <c r="C64" s="192">
        <v>1</v>
      </c>
      <c r="D64" s="192">
        <v>1</v>
      </c>
      <c r="E64" t="s">
        <v>74</v>
      </c>
      <c r="F64" t="s">
        <v>54</v>
      </c>
      <c r="G64" t="s">
        <v>37</v>
      </c>
      <c r="H64" t="s">
        <v>38</v>
      </c>
      <c r="I64" t="s">
        <v>291</v>
      </c>
      <c r="J64" t="s">
        <v>40</v>
      </c>
      <c r="K64" s="194">
        <v>46237</v>
      </c>
      <c r="L64" s="194">
        <v>46344</v>
      </c>
      <c r="M64" t="s">
        <v>86</v>
      </c>
      <c r="N64">
        <v>3351</v>
      </c>
      <c r="O64" s="188"/>
      <c r="P64" s="188"/>
      <c r="Q64" s="188"/>
      <c r="R64" s="188"/>
      <c r="S64" s="188"/>
      <c r="T64" s="188"/>
      <c r="U64" s="188"/>
      <c r="V64" s="188"/>
      <c r="W64" s="188"/>
      <c r="X64" s="188"/>
      <c r="Y64" s="188"/>
      <c r="Z64" s="188"/>
      <c r="AA64" s="188"/>
      <c r="AB64" s="188"/>
      <c r="AC64" s="188"/>
      <c r="AD64" s="188"/>
      <c r="AE64" s="188"/>
      <c r="AF64" s="188"/>
      <c r="AG64" s="188"/>
      <c r="AH64" s="188"/>
      <c r="AI64" s="188"/>
      <c r="AJ64" s="188"/>
      <c r="AK64" s="188"/>
      <c r="AL64" s="188"/>
      <c r="AM64" s="187"/>
      <c r="AN64" s="187"/>
      <c r="AO64" s="187"/>
      <c r="AP64" s="187"/>
      <c r="AQ64" s="187"/>
      <c r="AR64" s="187"/>
      <c r="AS64" s="187"/>
      <c r="AT64" s="187"/>
      <c r="AU64" s="187"/>
      <c r="AV64" s="187"/>
      <c r="AW64" s="187"/>
      <c r="AX64" s="187"/>
      <c r="AY64" s="187"/>
      <c r="AZ64" s="187"/>
      <c r="BA64" s="187"/>
      <c r="BB64" s="187"/>
      <c r="BC64" s="187"/>
      <c r="BD64" s="187"/>
      <c r="BE64" s="187"/>
      <c r="BF64" s="187"/>
      <c r="BG64" s="187"/>
      <c r="BH64" s="187"/>
      <c r="BI64" s="187"/>
      <c r="BJ64" s="187"/>
      <c r="BK64" s="187"/>
      <c r="BL64" s="187"/>
      <c r="BM64" s="187"/>
      <c r="BN64" s="187"/>
      <c r="BO64" s="187"/>
      <c r="BP64" s="187"/>
    </row>
    <row r="65" spans="1:68">
      <c r="A65" t="s">
        <v>292</v>
      </c>
      <c r="B65" t="s">
        <v>66</v>
      </c>
      <c r="C65" s="192">
        <v>1</v>
      </c>
      <c r="D65" s="192">
        <v>47</v>
      </c>
      <c r="E65" t="s">
        <v>74</v>
      </c>
      <c r="F65" t="s">
        <v>54</v>
      </c>
      <c r="G65" t="s">
        <v>37</v>
      </c>
      <c r="H65" t="s">
        <v>38</v>
      </c>
      <c r="I65" t="s">
        <v>122</v>
      </c>
      <c r="J65" t="s">
        <v>123</v>
      </c>
      <c r="K65" s="194">
        <v>46209</v>
      </c>
      <c r="L65" s="194">
        <v>46321</v>
      </c>
      <c r="M65" t="s">
        <v>85</v>
      </c>
      <c r="N65">
        <v>3250</v>
      </c>
      <c r="O65" s="188"/>
      <c r="P65" s="188"/>
      <c r="Q65" s="188"/>
      <c r="R65" s="188"/>
      <c r="S65" s="188"/>
      <c r="T65" s="188"/>
      <c r="U65" s="188"/>
      <c r="V65" s="188"/>
      <c r="W65" s="188"/>
      <c r="X65" s="188"/>
      <c r="Y65" s="188"/>
      <c r="Z65" s="188"/>
      <c r="AA65" s="188"/>
      <c r="AB65" s="188"/>
      <c r="AC65" s="188"/>
      <c r="AD65" s="188"/>
      <c r="AE65" s="188"/>
      <c r="AF65" s="188"/>
      <c r="AG65" s="188"/>
      <c r="AH65" s="188"/>
      <c r="AI65" s="188"/>
      <c r="AJ65" s="188"/>
      <c r="AK65" s="188"/>
      <c r="AL65" s="188"/>
      <c r="AM65" s="187"/>
      <c r="AN65" s="187"/>
      <c r="AO65" s="187"/>
      <c r="AP65" s="187"/>
      <c r="AQ65" s="187"/>
      <c r="AR65" s="187"/>
      <c r="AS65" s="187"/>
      <c r="AT65" s="187"/>
      <c r="AU65" s="187"/>
      <c r="AV65" s="187"/>
      <c r="AW65" s="187"/>
      <c r="AX65" s="187"/>
      <c r="AY65" s="187"/>
      <c r="AZ65" s="187"/>
      <c r="BA65" s="187"/>
      <c r="BB65" s="187"/>
      <c r="BC65" s="187"/>
      <c r="BD65" s="187"/>
      <c r="BE65" s="187"/>
      <c r="BF65" s="187"/>
      <c r="BG65" s="187"/>
      <c r="BH65" s="187"/>
      <c r="BI65" s="187"/>
      <c r="BJ65" s="187"/>
      <c r="BK65" s="187"/>
      <c r="BL65" s="187"/>
      <c r="BM65" s="187"/>
      <c r="BN65" s="187"/>
      <c r="BO65" s="187"/>
      <c r="BP65" s="187"/>
    </row>
    <row r="66" spans="1:68">
      <c r="A66" t="s">
        <v>294</v>
      </c>
      <c r="B66" t="s">
        <v>66</v>
      </c>
      <c r="C66" s="192">
        <v>1</v>
      </c>
      <c r="D66" s="192">
        <v>24</v>
      </c>
      <c r="E66" t="s">
        <v>47</v>
      </c>
      <c r="F66" t="s">
        <v>36</v>
      </c>
      <c r="G66" t="s">
        <v>37</v>
      </c>
      <c r="H66" t="s">
        <v>38</v>
      </c>
      <c r="I66" t="s">
        <v>166</v>
      </c>
      <c r="J66" t="s">
        <v>123</v>
      </c>
      <c r="K66" s="194">
        <v>46272</v>
      </c>
      <c r="L66" s="194">
        <v>46533</v>
      </c>
      <c r="M66" t="s">
        <v>95</v>
      </c>
      <c r="N66">
        <v>3239</v>
      </c>
      <c r="O66" s="188"/>
      <c r="P66" s="188"/>
      <c r="Q66" s="188"/>
      <c r="R66" s="188"/>
      <c r="S66" s="188"/>
      <c r="T66" s="188"/>
      <c r="U66" s="188"/>
      <c r="V66" s="188"/>
      <c r="W66" s="188"/>
      <c r="X66" s="188"/>
      <c r="Y66" s="188"/>
      <c r="Z66" s="188"/>
      <c r="AA66" s="188"/>
      <c r="AB66" s="188"/>
      <c r="AC66" s="188"/>
      <c r="AD66" s="188"/>
      <c r="AE66" s="188"/>
      <c r="AF66" s="188"/>
      <c r="AG66" s="188"/>
      <c r="AH66" s="188"/>
      <c r="AI66" s="188"/>
      <c r="AJ66" s="188"/>
      <c r="AK66" s="188"/>
      <c r="AL66" s="188"/>
      <c r="AM66" s="187"/>
      <c r="AN66" s="187"/>
      <c r="AO66" s="187"/>
      <c r="AP66" s="187"/>
      <c r="AQ66" s="187"/>
      <c r="AR66" s="187"/>
      <c r="AS66" s="187"/>
      <c r="AT66" s="187"/>
      <c r="AU66" s="187"/>
      <c r="AV66" s="187"/>
      <c r="AW66" s="187"/>
      <c r="AX66" s="187"/>
      <c r="AY66" s="187"/>
      <c r="AZ66" s="187"/>
      <c r="BA66" s="187"/>
      <c r="BB66" s="187"/>
      <c r="BC66" s="187"/>
      <c r="BD66" s="187"/>
      <c r="BE66" s="187"/>
      <c r="BF66" s="187"/>
      <c r="BG66" s="187"/>
      <c r="BH66" s="187"/>
      <c r="BI66" s="187"/>
      <c r="BJ66" s="187"/>
      <c r="BK66" s="187"/>
      <c r="BL66" s="187"/>
      <c r="BM66" s="187"/>
      <c r="BN66" s="187"/>
      <c r="BO66" s="187"/>
      <c r="BP66" s="187"/>
    </row>
    <row r="67" spans="1:68">
      <c r="A67" t="s">
        <v>297</v>
      </c>
      <c r="B67" t="s">
        <v>68</v>
      </c>
      <c r="C67" s="192">
        <v>1</v>
      </c>
      <c r="D67" s="192">
        <v>16</v>
      </c>
      <c r="E67" t="s">
        <v>30</v>
      </c>
      <c r="F67" t="s">
        <v>62</v>
      </c>
      <c r="G67" t="s">
        <v>37</v>
      </c>
      <c r="H67" t="s">
        <v>38</v>
      </c>
      <c r="I67" t="s">
        <v>299</v>
      </c>
      <c r="J67" t="s">
        <v>132</v>
      </c>
      <c r="K67" s="194">
        <v>46422</v>
      </c>
      <c r="L67" s="194">
        <v>46602</v>
      </c>
      <c r="M67" t="s">
        <v>97</v>
      </c>
      <c r="N67" t="s">
        <v>116</v>
      </c>
      <c r="O67" s="188"/>
      <c r="P67" s="188"/>
      <c r="Q67" s="188"/>
      <c r="R67" s="188"/>
      <c r="S67" s="188"/>
      <c r="T67" s="188"/>
      <c r="U67" s="188"/>
      <c r="V67" s="188"/>
      <c r="W67" s="188"/>
      <c r="X67" s="188"/>
      <c r="Y67" s="188"/>
      <c r="Z67" s="188"/>
      <c r="AA67" s="188"/>
      <c r="AB67" s="188"/>
      <c r="AC67" s="188"/>
      <c r="AD67" s="188"/>
      <c r="AE67" s="188"/>
      <c r="AF67" s="188"/>
      <c r="AG67" s="188"/>
      <c r="AH67" s="188"/>
      <c r="AI67" s="188"/>
      <c r="AJ67" s="188"/>
      <c r="AK67" s="188"/>
      <c r="AL67" s="188"/>
      <c r="AM67" s="187"/>
      <c r="AN67" s="187"/>
      <c r="AO67" s="187"/>
      <c r="AP67" s="187"/>
      <c r="AQ67" s="187"/>
      <c r="AR67" s="187"/>
      <c r="AS67" s="187"/>
      <c r="AT67" s="187"/>
      <c r="AU67" s="187"/>
      <c r="AV67" s="187"/>
      <c r="AW67" s="187"/>
      <c r="AX67" s="187"/>
      <c r="AY67" s="187"/>
      <c r="AZ67" s="187"/>
      <c r="BA67" s="187"/>
      <c r="BB67" s="187"/>
      <c r="BC67" s="187"/>
      <c r="BD67" s="187"/>
      <c r="BE67" s="187"/>
      <c r="BF67" s="187"/>
      <c r="BG67" s="187"/>
      <c r="BH67" s="187"/>
      <c r="BI67" s="187"/>
      <c r="BJ67" s="187"/>
      <c r="BK67" s="187"/>
      <c r="BL67" s="187"/>
      <c r="BM67" s="187"/>
      <c r="BN67" s="187"/>
      <c r="BO67" s="187"/>
      <c r="BP67" s="187"/>
    </row>
    <row r="68" spans="1:68">
      <c r="A68" t="s">
        <v>300</v>
      </c>
      <c r="B68" t="s">
        <v>31</v>
      </c>
      <c r="C68" s="192">
        <v>1</v>
      </c>
      <c r="D68" s="192">
        <v>4</v>
      </c>
      <c r="E68" t="s">
        <v>47</v>
      </c>
      <c r="F68" t="s">
        <v>54</v>
      </c>
      <c r="G68" t="s">
        <v>37</v>
      </c>
      <c r="H68" t="s">
        <v>38</v>
      </c>
      <c r="I68" t="s">
        <v>50</v>
      </c>
      <c r="J68" t="s">
        <v>40</v>
      </c>
      <c r="K68" s="194">
        <v>46174</v>
      </c>
      <c r="L68" s="194">
        <v>46440</v>
      </c>
      <c r="M68" t="s">
        <v>93</v>
      </c>
      <c r="N68">
        <v>3330</v>
      </c>
      <c r="O68" s="188"/>
      <c r="P68" s="188"/>
      <c r="Q68" s="188"/>
      <c r="R68" s="188"/>
      <c r="S68" s="188"/>
      <c r="T68" s="188"/>
      <c r="U68" s="188"/>
      <c r="V68" s="188"/>
      <c r="W68" s="188"/>
      <c r="X68" s="188"/>
      <c r="Y68" s="188"/>
      <c r="Z68" s="188"/>
      <c r="AA68" s="188"/>
      <c r="AB68" s="188"/>
      <c r="AC68" s="188"/>
      <c r="AD68" s="188"/>
      <c r="AE68" s="188"/>
      <c r="AF68" s="188"/>
      <c r="AG68" s="188"/>
      <c r="AH68" s="188"/>
      <c r="AI68" s="188"/>
      <c r="AJ68" s="188"/>
      <c r="AK68" s="188"/>
      <c r="AL68" s="188"/>
      <c r="AM68" s="187"/>
      <c r="AN68" s="187"/>
      <c r="AO68" s="187"/>
      <c r="AP68" s="187"/>
      <c r="AQ68" s="187"/>
      <c r="AR68" s="187"/>
      <c r="AS68" s="187"/>
      <c r="AT68" s="187"/>
      <c r="AU68" s="187"/>
      <c r="AV68" s="187"/>
      <c r="AW68" s="187"/>
      <c r="AX68" s="187"/>
      <c r="AY68" s="187"/>
      <c r="AZ68" s="187"/>
      <c r="BA68" s="187"/>
      <c r="BB68" s="187"/>
      <c r="BC68" s="187"/>
      <c r="BD68" s="187"/>
      <c r="BE68" s="187"/>
      <c r="BF68" s="187"/>
      <c r="BG68" s="187"/>
      <c r="BH68" s="187"/>
      <c r="BI68" s="187"/>
      <c r="BJ68" s="187"/>
      <c r="BK68" s="187"/>
      <c r="BL68" s="187"/>
      <c r="BM68" s="187"/>
      <c r="BN68" s="187"/>
      <c r="BO68" s="187"/>
      <c r="BP68" s="187"/>
    </row>
    <row r="69" spans="1:68">
      <c r="A69" t="s">
        <v>301</v>
      </c>
      <c r="B69" t="s">
        <v>31</v>
      </c>
      <c r="C69" s="192">
        <v>1</v>
      </c>
      <c r="D69" s="192">
        <v>2</v>
      </c>
      <c r="E69" t="s">
        <v>30</v>
      </c>
      <c r="F69" t="s">
        <v>54</v>
      </c>
      <c r="G69" t="s">
        <v>37</v>
      </c>
      <c r="H69" t="s">
        <v>38</v>
      </c>
      <c r="I69" t="s">
        <v>302</v>
      </c>
      <c r="J69" t="s">
        <v>40</v>
      </c>
      <c r="K69" s="194">
        <v>46266</v>
      </c>
      <c r="L69" s="194">
        <v>46442</v>
      </c>
      <c r="M69" t="s">
        <v>93</v>
      </c>
      <c r="N69">
        <v>3326</v>
      </c>
      <c r="O69" s="188"/>
      <c r="P69" s="188"/>
      <c r="Q69" s="188"/>
      <c r="R69" s="188"/>
      <c r="S69" s="188"/>
      <c r="T69" s="188"/>
      <c r="U69" s="188"/>
      <c r="V69" s="188"/>
      <c r="W69" s="188"/>
      <c r="X69" s="188"/>
      <c r="Y69" s="188"/>
      <c r="Z69" s="188"/>
      <c r="AA69" s="188"/>
      <c r="AB69" s="188"/>
      <c r="AC69" s="188"/>
      <c r="AD69" s="188"/>
      <c r="AE69" s="188"/>
      <c r="AF69" s="188"/>
      <c r="AG69" s="188"/>
      <c r="AH69" s="188"/>
      <c r="AI69" s="188"/>
      <c r="AJ69" s="188"/>
      <c r="AK69" s="188"/>
      <c r="AL69" s="188"/>
      <c r="AM69" s="187"/>
      <c r="AN69" s="187"/>
      <c r="AO69" s="187"/>
      <c r="AP69" s="187"/>
      <c r="AQ69" s="187"/>
      <c r="AR69" s="187"/>
      <c r="AS69" s="187"/>
      <c r="AT69" s="187"/>
      <c r="AU69" s="187"/>
      <c r="AV69" s="187"/>
      <c r="AW69" s="187"/>
      <c r="AX69" s="187"/>
      <c r="AY69" s="187"/>
      <c r="AZ69" s="187"/>
      <c r="BA69" s="187"/>
      <c r="BB69" s="187"/>
      <c r="BC69" s="187"/>
      <c r="BD69" s="187"/>
      <c r="BE69" s="187"/>
      <c r="BF69" s="187"/>
      <c r="BG69" s="187"/>
      <c r="BH69" s="187"/>
      <c r="BI69" s="187"/>
      <c r="BJ69" s="187"/>
      <c r="BK69" s="187"/>
      <c r="BL69" s="187"/>
      <c r="BM69" s="187"/>
      <c r="BN69" s="187"/>
      <c r="BO69" s="187"/>
      <c r="BP69" s="187"/>
    </row>
    <row r="70" spans="1:68">
      <c r="A70" t="s">
        <v>303</v>
      </c>
      <c r="B70" t="s">
        <v>66</v>
      </c>
      <c r="C70" s="192">
        <v>1</v>
      </c>
      <c r="D70" s="192">
        <v>41</v>
      </c>
      <c r="E70" t="s">
        <v>47</v>
      </c>
      <c r="F70" t="s">
        <v>54</v>
      </c>
      <c r="G70" t="s">
        <v>37</v>
      </c>
      <c r="H70" t="s">
        <v>38</v>
      </c>
      <c r="I70" t="s">
        <v>234</v>
      </c>
      <c r="J70" t="s">
        <v>123</v>
      </c>
      <c r="K70" s="194">
        <v>46266</v>
      </c>
      <c r="L70" s="194">
        <v>46527</v>
      </c>
      <c r="M70" t="s">
        <v>95</v>
      </c>
      <c r="N70">
        <v>3245</v>
      </c>
      <c r="O70" s="188"/>
      <c r="P70" s="188"/>
      <c r="Q70" s="188"/>
      <c r="R70" s="188"/>
      <c r="S70" s="188"/>
      <c r="T70" s="188"/>
      <c r="U70" s="188"/>
      <c r="V70" s="188"/>
      <c r="W70" s="188"/>
      <c r="X70" s="188"/>
      <c r="Y70" s="188"/>
      <c r="Z70" s="188"/>
      <c r="AA70" s="188"/>
      <c r="AB70" s="188"/>
      <c r="AC70" s="188"/>
      <c r="AD70" s="188"/>
      <c r="AE70" s="188"/>
      <c r="AF70" s="188"/>
      <c r="AG70" s="188"/>
      <c r="AH70" s="188"/>
      <c r="AI70" s="188"/>
      <c r="AJ70" s="188"/>
      <c r="AK70" s="188"/>
      <c r="AL70" s="188"/>
      <c r="AM70" s="187"/>
      <c r="AN70" s="187"/>
      <c r="AO70" s="187"/>
      <c r="AP70" s="187"/>
      <c r="AQ70" s="190"/>
      <c r="AR70" s="187"/>
      <c r="AS70" s="187"/>
      <c r="AT70" s="187"/>
      <c r="AU70" s="187"/>
      <c r="AV70" s="187"/>
      <c r="AW70" s="187"/>
      <c r="AX70" s="187"/>
      <c r="AY70" s="187"/>
      <c r="AZ70" s="187"/>
      <c r="BA70" s="187"/>
      <c r="BB70" s="187"/>
      <c r="BC70" s="187"/>
      <c r="BD70" s="187"/>
      <c r="BE70" s="187"/>
      <c r="BF70" s="187"/>
      <c r="BG70" s="187"/>
      <c r="BH70" s="187"/>
      <c r="BI70" s="187"/>
      <c r="BJ70" s="187"/>
      <c r="BK70" s="187"/>
      <c r="BL70" s="187"/>
      <c r="BM70" s="187"/>
      <c r="BN70" s="187"/>
      <c r="BO70" s="187"/>
      <c r="BP70" s="187"/>
    </row>
    <row r="71" spans="1:68">
      <c r="A71" t="s">
        <v>305</v>
      </c>
      <c r="B71" t="s">
        <v>66</v>
      </c>
      <c r="C71" s="192">
        <v>1</v>
      </c>
      <c r="D71" s="192">
        <v>46</v>
      </c>
      <c r="E71" t="s">
        <v>76</v>
      </c>
      <c r="F71" t="s">
        <v>54</v>
      </c>
      <c r="G71" t="s">
        <v>37</v>
      </c>
      <c r="H71" t="s">
        <v>38</v>
      </c>
      <c r="I71" t="s">
        <v>166</v>
      </c>
      <c r="J71" t="s">
        <v>123</v>
      </c>
      <c r="K71" s="194">
        <v>46272</v>
      </c>
      <c r="L71" s="194">
        <v>46590</v>
      </c>
      <c r="M71" t="s">
        <v>97</v>
      </c>
      <c r="N71">
        <v>3249</v>
      </c>
      <c r="O71" s="188"/>
      <c r="P71" s="188"/>
      <c r="Q71" s="188"/>
      <c r="R71" s="188"/>
      <c r="S71" s="188"/>
      <c r="T71" s="188"/>
      <c r="U71" s="188"/>
      <c r="V71" s="188"/>
      <c r="W71" s="188"/>
      <c r="X71" s="188"/>
      <c r="Y71" s="188"/>
      <c r="Z71" s="188"/>
      <c r="AA71" s="188"/>
      <c r="AB71" s="188"/>
      <c r="AC71" s="188"/>
      <c r="AD71" s="188"/>
      <c r="AE71" s="188"/>
      <c r="AF71" s="188"/>
      <c r="AG71" s="188"/>
      <c r="AH71" s="188"/>
      <c r="AI71" s="188"/>
      <c r="AJ71" s="188"/>
      <c r="AK71" s="188"/>
      <c r="AL71" s="188"/>
      <c r="AM71" s="187"/>
      <c r="AN71" s="187"/>
      <c r="AO71" s="187"/>
      <c r="AP71" s="187"/>
      <c r="AQ71" s="187"/>
      <c r="AR71" s="187"/>
      <c r="AS71" s="187"/>
      <c r="AT71" s="187"/>
      <c r="AU71" s="187"/>
      <c r="AV71" s="187"/>
      <c r="AW71" s="187"/>
      <c r="AX71" s="187"/>
      <c r="AY71" s="187"/>
      <c r="AZ71" s="187"/>
      <c r="BA71" s="187"/>
      <c r="BB71" s="187"/>
      <c r="BC71" s="187"/>
      <c r="BD71" s="187"/>
      <c r="BE71" s="187"/>
      <c r="BF71" s="187"/>
      <c r="BG71" s="187"/>
      <c r="BH71" s="187"/>
      <c r="BI71" s="187"/>
      <c r="BJ71" s="187"/>
      <c r="BK71" s="187"/>
      <c r="BL71" s="187"/>
      <c r="BM71" s="187"/>
      <c r="BN71" s="187"/>
      <c r="BO71" s="187"/>
      <c r="BP71" s="187"/>
    </row>
    <row r="72" spans="1:68">
      <c r="A72" t="s">
        <v>307</v>
      </c>
      <c r="B72" t="s">
        <v>66</v>
      </c>
      <c r="C72" s="192">
        <v>1</v>
      </c>
      <c r="D72" s="192">
        <v>32</v>
      </c>
      <c r="E72" t="s">
        <v>47</v>
      </c>
      <c r="F72" t="s">
        <v>54</v>
      </c>
      <c r="G72" t="s">
        <v>37</v>
      </c>
      <c r="H72" t="s">
        <v>38</v>
      </c>
      <c r="I72" t="s">
        <v>166</v>
      </c>
      <c r="J72" t="s">
        <v>123</v>
      </c>
      <c r="K72" s="194">
        <v>46272</v>
      </c>
      <c r="L72" s="194">
        <v>46533</v>
      </c>
      <c r="M72" t="s">
        <v>95</v>
      </c>
      <c r="N72">
        <v>3231</v>
      </c>
      <c r="O72" s="188"/>
      <c r="P72" s="188"/>
      <c r="Q72" s="188"/>
      <c r="R72" s="188"/>
      <c r="S72" s="188"/>
      <c r="T72" s="188"/>
      <c r="U72" s="188"/>
      <c r="V72" s="188"/>
      <c r="W72" s="188"/>
      <c r="X72" s="188"/>
      <c r="Y72" s="188"/>
      <c r="Z72" s="188"/>
      <c r="AA72" s="188"/>
      <c r="AB72" s="188"/>
      <c r="AC72" s="188"/>
      <c r="AD72" s="188"/>
      <c r="AE72" s="188"/>
      <c r="AF72" s="188"/>
      <c r="AG72" s="188"/>
      <c r="AH72" s="188"/>
      <c r="AI72" s="188"/>
      <c r="AJ72" s="188"/>
      <c r="AK72" s="188"/>
      <c r="AL72" s="188"/>
      <c r="AM72" s="187"/>
      <c r="AN72" s="187"/>
      <c r="AO72" s="187"/>
      <c r="AP72" s="187"/>
      <c r="AQ72" s="187"/>
      <c r="AR72" s="187"/>
      <c r="AS72" s="187"/>
      <c r="AT72" s="187"/>
      <c r="AU72" s="187"/>
      <c r="AV72" s="187"/>
      <c r="AW72" s="187"/>
      <c r="AX72" s="187"/>
      <c r="AY72" s="187"/>
      <c r="AZ72" s="187"/>
      <c r="BA72" s="187"/>
      <c r="BB72" s="187"/>
      <c r="BC72" s="187"/>
      <c r="BD72" s="187"/>
      <c r="BE72" s="187"/>
      <c r="BF72" s="187"/>
      <c r="BG72" s="187"/>
      <c r="BH72" s="187"/>
      <c r="BI72" s="187"/>
      <c r="BJ72" s="187"/>
      <c r="BK72" s="187"/>
      <c r="BL72" s="187"/>
      <c r="BM72" s="187"/>
      <c r="BN72" s="187"/>
      <c r="BO72" s="187"/>
      <c r="BP72" s="187"/>
    </row>
    <row r="73" spans="1:68">
      <c r="A73" t="s">
        <v>311</v>
      </c>
      <c r="B73" t="s">
        <v>68</v>
      </c>
      <c r="C73" s="192">
        <v>1</v>
      </c>
      <c r="D73" s="192">
        <v>7</v>
      </c>
      <c r="E73" t="s">
        <v>76</v>
      </c>
      <c r="F73" t="s">
        <v>54</v>
      </c>
      <c r="G73" t="s">
        <v>37</v>
      </c>
      <c r="H73" t="s">
        <v>38</v>
      </c>
      <c r="I73" t="s">
        <v>166</v>
      </c>
      <c r="J73" t="s">
        <v>132</v>
      </c>
      <c r="K73" s="194">
        <v>46209</v>
      </c>
      <c r="L73" s="194">
        <v>46531</v>
      </c>
      <c r="M73" t="s">
        <v>95</v>
      </c>
      <c r="N73">
        <v>3218</v>
      </c>
      <c r="O73" s="188"/>
      <c r="P73" s="188"/>
      <c r="Q73" s="188"/>
      <c r="R73" s="188"/>
      <c r="S73" s="188"/>
      <c r="T73" s="188"/>
      <c r="U73" s="188"/>
      <c r="V73" s="188"/>
      <c r="W73" s="188"/>
      <c r="X73" s="188"/>
      <c r="Y73" s="188"/>
      <c r="Z73" s="188"/>
      <c r="AA73" s="188"/>
      <c r="AB73" s="188"/>
      <c r="AC73" s="188"/>
      <c r="AD73" s="188"/>
      <c r="AE73" s="188"/>
      <c r="AF73" s="188"/>
      <c r="AG73" s="188"/>
      <c r="AH73" s="188"/>
      <c r="AI73" s="188"/>
      <c r="AJ73" s="188"/>
      <c r="AK73" s="188"/>
      <c r="AL73" s="188"/>
      <c r="AM73" s="187"/>
      <c r="AN73" s="187"/>
      <c r="AO73" s="187"/>
      <c r="AP73" s="187"/>
      <c r="AQ73" s="187"/>
      <c r="AR73" s="187"/>
      <c r="AS73" s="187"/>
      <c r="AT73" s="187"/>
      <c r="AU73" s="187"/>
      <c r="AV73" s="187"/>
      <c r="AW73" s="187"/>
      <c r="AX73" s="187"/>
      <c r="AY73" s="187"/>
      <c r="AZ73" s="187"/>
      <c r="BA73" s="187"/>
      <c r="BB73" s="187"/>
      <c r="BC73" s="187"/>
      <c r="BD73" s="187"/>
      <c r="BE73" s="187"/>
      <c r="BF73" s="187"/>
      <c r="BG73" s="187"/>
      <c r="BH73" s="187"/>
      <c r="BI73" s="187"/>
      <c r="BJ73" s="187"/>
      <c r="BK73" s="187"/>
      <c r="BL73" s="187"/>
      <c r="BM73" s="187"/>
      <c r="BN73" s="187"/>
      <c r="BO73" s="187"/>
      <c r="BP73" s="187"/>
    </row>
    <row r="74" spans="1:68">
      <c r="A74" t="s">
        <v>314</v>
      </c>
      <c r="B74" t="s">
        <v>31</v>
      </c>
      <c r="C74" s="192">
        <v>1</v>
      </c>
      <c r="D74" s="192">
        <v>13</v>
      </c>
      <c r="E74" t="s">
        <v>30</v>
      </c>
      <c r="F74" t="s">
        <v>49</v>
      </c>
      <c r="G74" t="s">
        <v>37</v>
      </c>
      <c r="H74" t="s">
        <v>38</v>
      </c>
      <c r="I74" t="s">
        <v>115</v>
      </c>
      <c r="J74" t="s">
        <v>40</v>
      </c>
      <c r="K74" s="194">
        <v>46329</v>
      </c>
      <c r="L74" s="194">
        <v>46506</v>
      </c>
      <c r="M74" t="s">
        <v>94</v>
      </c>
      <c r="N74">
        <v>3193</v>
      </c>
      <c r="O74" s="188"/>
      <c r="P74" s="188"/>
      <c r="Q74" s="188"/>
      <c r="R74" s="188"/>
      <c r="S74" s="188"/>
      <c r="T74" s="188"/>
      <c r="U74" s="188"/>
      <c r="V74" s="188"/>
      <c r="W74" s="188"/>
      <c r="X74" s="188"/>
      <c r="Y74" s="188"/>
      <c r="Z74" s="188"/>
      <c r="AA74" s="188"/>
      <c r="AB74" s="188"/>
      <c r="AC74" s="188"/>
      <c r="AD74" s="188"/>
      <c r="AE74" s="188"/>
      <c r="AF74" s="188"/>
      <c r="AG74" s="188"/>
      <c r="AH74" s="188"/>
      <c r="AI74" s="188"/>
      <c r="AJ74" s="188"/>
      <c r="AK74" s="188"/>
      <c r="AL74" s="188"/>
      <c r="AM74" s="187"/>
      <c r="AN74" s="187"/>
      <c r="AO74" s="187"/>
      <c r="AP74" s="187"/>
      <c r="AQ74" s="187"/>
      <c r="AR74" s="187"/>
      <c r="AS74" s="187"/>
      <c r="AT74" s="187"/>
      <c r="AU74" s="187"/>
      <c r="AV74" s="187"/>
      <c r="AW74" s="187"/>
      <c r="AX74" s="187"/>
      <c r="AY74" s="187"/>
      <c r="AZ74" s="187"/>
      <c r="BA74" s="187"/>
      <c r="BB74" s="187"/>
      <c r="BC74" s="187"/>
      <c r="BD74" s="187"/>
      <c r="BE74" s="187"/>
      <c r="BF74" s="187"/>
      <c r="BG74" s="187"/>
      <c r="BH74" s="187"/>
      <c r="BI74" s="187"/>
      <c r="BJ74" s="187"/>
      <c r="BK74" s="187"/>
      <c r="BL74" s="187"/>
      <c r="BM74" s="187"/>
      <c r="BN74" s="187"/>
      <c r="BO74" s="187"/>
      <c r="BP74" s="187"/>
    </row>
    <row r="75" spans="1:68">
      <c r="A75" t="s">
        <v>315</v>
      </c>
      <c r="B75" t="s">
        <v>31</v>
      </c>
      <c r="C75" s="192">
        <v>1</v>
      </c>
      <c r="D75" s="192" t="s">
        <v>52</v>
      </c>
      <c r="E75" t="s">
        <v>47</v>
      </c>
      <c r="F75" t="s">
        <v>54</v>
      </c>
      <c r="G75" t="s">
        <v>37</v>
      </c>
      <c r="H75" t="s">
        <v>38</v>
      </c>
      <c r="I75" t="s">
        <v>291</v>
      </c>
      <c r="J75" t="s">
        <v>40</v>
      </c>
      <c r="K75" s="194">
        <v>46237</v>
      </c>
      <c r="L75" s="194">
        <v>46499</v>
      </c>
      <c r="M75" t="s">
        <v>94</v>
      </c>
      <c r="N75">
        <v>3145</v>
      </c>
      <c r="O75" s="188"/>
      <c r="P75" s="188"/>
      <c r="Q75" s="188"/>
      <c r="R75" s="188"/>
      <c r="S75" s="188"/>
      <c r="T75" s="188"/>
      <c r="U75" s="188"/>
      <c r="V75" s="188"/>
      <c r="W75" s="188"/>
      <c r="X75" s="188"/>
      <c r="Y75" s="188"/>
      <c r="Z75" s="188"/>
      <c r="AA75" s="188"/>
      <c r="AB75" s="188"/>
      <c r="AC75" s="188"/>
      <c r="AD75" s="188"/>
      <c r="AE75" s="188"/>
      <c r="AF75" s="188"/>
      <c r="AG75" s="188"/>
      <c r="AH75" s="188"/>
      <c r="AI75" s="188"/>
      <c r="AJ75" s="188"/>
      <c r="AK75" s="188"/>
      <c r="AL75" s="188"/>
      <c r="AM75" s="187"/>
      <c r="AN75" s="187"/>
      <c r="AO75" s="187"/>
      <c r="AP75" s="187"/>
      <c r="AQ75" s="187"/>
      <c r="AR75" s="187"/>
      <c r="AS75" s="187"/>
      <c r="AT75" s="187"/>
      <c r="AU75" s="187"/>
      <c r="AV75" s="187"/>
      <c r="AW75" s="187"/>
      <c r="AX75" s="187"/>
      <c r="AY75" s="187"/>
      <c r="AZ75" s="187"/>
      <c r="BA75" s="187"/>
      <c r="BB75" s="187"/>
      <c r="BC75" s="187"/>
      <c r="BD75" s="187"/>
      <c r="BE75" s="187"/>
      <c r="BF75" s="187"/>
      <c r="BG75" s="187"/>
      <c r="BH75" s="187"/>
      <c r="BI75" s="187"/>
      <c r="BJ75" s="187"/>
      <c r="BK75" s="187"/>
      <c r="BL75" s="187"/>
      <c r="BM75" s="187"/>
      <c r="BN75" s="187"/>
      <c r="BO75" s="187"/>
      <c r="BP75" s="187"/>
    </row>
    <row r="76" spans="1:68">
      <c r="A76" t="s">
        <v>317</v>
      </c>
      <c r="B76" t="s">
        <v>31</v>
      </c>
      <c r="C76" s="192">
        <v>1</v>
      </c>
      <c r="D76" s="192">
        <v>6</v>
      </c>
      <c r="E76" t="s">
        <v>30</v>
      </c>
      <c r="F76" t="s">
        <v>36</v>
      </c>
      <c r="G76" t="s">
        <v>37</v>
      </c>
      <c r="H76" t="s">
        <v>38</v>
      </c>
      <c r="I76" t="s">
        <v>175</v>
      </c>
      <c r="J76" t="s">
        <v>40</v>
      </c>
      <c r="K76" s="194">
        <v>46237</v>
      </c>
      <c r="L76" s="194">
        <v>46414</v>
      </c>
      <c r="M76" t="s">
        <v>89</v>
      </c>
      <c r="N76" t="s">
        <v>116</v>
      </c>
      <c r="O76" s="188"/>
      <c r="P76" s="188"/>
      <c r="Q76" s="188"/>
      <c r="R76" s="188"/>
      <c r="S76" s="188"/>
      <c r="T76" s="188"/>
      <c r="U76" s="188"/>
      <c r="V76" s="188"/>
      <c r="W76" s="188"/>
      <c r="X76" s="188"/>
      <c r="Y76" s="188"/>
      <c r="Z76" s="188"/>
      <c r="AA76" s="188"/>
      <c r="AB76" s="188"/>
      <c r="AC76" s="188"/>
      <c r="AD76" s="188"/>
      <c r="AE76" s="188"/>
      <c r="AF76" s="188"/>
      <c r="AG76" s="188"/>
      <c r="AH76" s="188"/>
      <c r="AI76" s="188"/>
      <c r="AJ76" s="188"/>
      <c r="AK76" s="188"/>
      <c r="AL76" s="188"/>
      <c r="AM76" s="187"/>
      <c r="AN76" s="187"/>
      <c r="AO76" s="187"/>
      <c r="AP76" s="187"/>
      <c r="AQ76" s="187"/>
      <c r="AR76" s="187"/>
      <c r="AS76" s="187"/>
      <c r="AT76" s="187"/>
      <c r="AU76" s="187"/>
      <c r="AV76" s="187"/>
      <c r="AW76" s="187"/>
      <c r="AX76" s="187"/>
      <c r="AY76" s="187"/>
      <c r="AZ76" s="187"/>
      <c r="BA76" s="187"/>
      <c r="BB76" s="187"/>
      <c r="BC76" s="187"/>
      <c r="BD76" s="187"/>
      <c r="BE76" s="187"/>
      <c r="BF76" s="187"/>
      <c r="BG76" s="187"/>
      <c r="BH76" s="187"/>
      <c r="BI76" s="187"/>
      <c r="BJ76" s="187"/>
      <c r="BK76" s="187"/>
      <c r="BL76" s="187"/>
      <c r="BM76" s="187"/>
      <c r="BN76" s="187"/>
      <c r="BO76" s="187"/>
      <c r="BP76" s="187"/>
    </row>
    <row r="77" spans="1:68">
      <c r="A77" t="s">
        <v>319</v>
      </c>
      <c r="B77" t="s">
        <v>66</v>
      </c>
      <c r="C77" s="192">
        <v>1</v>
      </c>
      <c r="D77" s="192">
        <v>21</v>
      </c>
      <c r="E77" t="s">
        <v>30</v>
      </c>
      <c r="F77" t="s">
        <v>36</v>
      </c>
      <c r="G77" t="s">
        <v>37</v>
      </c>
      <c r="H77" t="s">
        <v>38</v>
      </c>
      <c r="I77" t="s">
        <v>280</v>
      </c>
      <c r="J77" t="s">
        <v>123</v>
      </c>
      <c r="K77" s="194">
        <v>46223</v>
      </c>
      <c r="L77" s="194">
        <v>46405</v>
      </c>
      <c r="M77" t="s">
        <v>89</v>
      </c>
      <c r="N77">
        <v>3251</v>
      </c>
      <c r="O77" s="188"/>
      <c r="P77" s="188"/>
      <c r="Q77" s="188"/>
      <c r="R77" s="188"/>
      <c r="S77" s="188"/>
      <c r="T77" s="188"/>
      <c r="U77" s="188"/>
      <c r="V77" s="188"/>
      <c r="W77" s="188"/>
      <c r="X77" s="188"/>
      <c r="Y77" s="188"/>
      <c r="Z77" s="188"/>
      <c r="AA77" s="188"/>
      <c r="AB77" s="188"/>
      <c r="AC77" s="188"/>
      <c r="AD77" s="188"/>
      <c r="AE77" s="188"/>
      <c r="AF77" s="188"/>
      <c r="AG77" s="188"/>
      <c r="AH77" s="188"/>
      <c r="AI77" s="188"/>
      <c r="AJ77" s="188"/>
      <c r="AK77" s="188"/>
      <c r="AL77" s="188"/>
      <c r="AM77" s="187"/>
      <c r="AN77" s="187"/>
      <c r="AO77" s="187"/>
      <c r="AP77" s="187"/>
      <c r="AQ77" s="187"/>
      <c r="AR77" s="187"/>
      <c r="AS77" s="187"/>
      <c r="AT77" s="187"/>
      <c r="AU77" s="187"/>
      <c r="AV77" s="187"/>
      <c r="AW77" s="187"/>
      <c r="AX77" s="187"/>
      <c r="AY77" s="187"/>
      <c r="AZ77" s="187"/>
      <c r="BA77" s="187"/>
      <c r="BB77" s="187"/>
      <c r="BC77" s="187"/>
      <c r="BD77" s="187"/>
      <c r="BE77" s="187"/>
      <c r="BF77" s="187"/>
      <c r="BG77" s="187"/>
      <c r="BH77" s="187"/>
      <c r="BI77" s="187"/>
      <c r="BJ77" s="187"/>
      <c r="BK77" s="187"/>
      <c r="BL77" s="187"/>
      <c r="BM77" s="187"/>
      <c r="BN77" s="187"/>
      <c r="BO77" s="187"/>
      <c r="BP77" s="187"/>
    </row>
    <row r="78" spans="1:68">
      <c r="A78" t="s">
        <v>322</v>
      </c>
      <c r="B78" t="s">
        <v>31</v>
      </c>
      <c r="C78" s="192">
        <v>1</v>
      </c>
      <c r="D78" s="192">
        <v>12</v>
      </c>
      <c r="E78" t="s">
        <v>30</v>
      </c>
      <c r="F78" t="s">
        <v>49</v>
      </c>
      <c r="G78" t="s">
        <v>37</v>
      </c>
      <c r="H78" t="s">
        <v>38</v>
      </c>
      <c r="I78" t="s">
        <v>50</v>
      </c>
      <c r="J78" t="s">
        <v>40</v>
      </c>
      <c r="K78" s="194">
        <v>46218</v>
      </c>
      <c r="L78" s="194">
        <v>46400</v>
      </c>
      <c r="M78" t="s">
        <v>89</v>
      </c>
      <c r="N78">
        <v>3345</v>
      </c>
      <c r="O78" s="188"/>
      <c r="P78" s="188"/>
      <c r="Q78" s="188"/>
      <c r="R78" s="188"/>
      <c r="S78" s="188"/>
      <c r="T78" s="188"/>
      <c r="U78" s="188"/>
      <c r="V78" s="188"/>
      <c r="W78" s="188"/>
      <c r="X78" s="188"/>
      <c r="Y78" s="188"/>
      <c r="Z78" s="188"/>
      <c r="AA78" s="188"/>
      <c r="AB78" s="188"/>
      <c r="AC78" s="188"/>
      <c r="AD78" s="188"/>
      <c r="AE78" s="188"/>
      <c r="AF78" s="188"/>
      <c r="AG78" s="188"/>
      <c r="AH78" s="188"/>
      <c r="AI78" s="188"/>
      <c r="AJ78" s="188"/>
      <c r="AK78" s="188"/>
      <c r="AL78" s="188"/>
      <c r="AM78" s="187"/>
      <c r="AN78" s="187"/>
      <c r="AO78" s="187"/>
      <c r="AP78" s="187"/>
      <c r="AQ78" s="187"/>
      <c r="AR78" s="187"/>
      <c r="AS78" s="187"/>
      <c r="AT78" s="187"/>
      <c r="AU78" s="187"/>
      <c r="AV78" s="187"/>
      <c r="AW78" s="187"/>
      <c r="AX78" s="187"/>
      <c r="AY78" s="187"/>
      <c r="AZ78" s="187"/>
      <c r="BA78" s="187"/>
      <c r="BB78" s="187"/>
      <c r="BC78" s="187"/>
      <c r="BD78" s="187"/>
      <c r="BE78" s="187"/>
      <c r="BF78" s="187"/>
      <c r="BG78" s="187"/>
      <c r="BH78" s="187"/>
      <c r="BI78" s="187"/>
      <c r="BJ78" s="187"/>
      <c r="BK78" s="187"/>
      <c r="BL78" s="187"/>
      <c r="BM78" s="187"/>
      <c r="BN78" s="187"/>
      <c r="BO78" s="187"/>
      <c r="BP78" s="187"/>
    </row>
    <row r="79" spans="1:68">
      <c r="A79" t="s">
        <v>323</v>
      </c>
      <c r="B79" t="s">
        <v>66</v>
      </c>
      <c r="C79" s="192">
        <v>1</v>
      </c>
      <c r="D79" s="192">
        <v>35</v>
      </c>
      <c r="E79" t="s">
        <v>75</v>
      </c>
      <c r="F79" t="s">
        <v>54</v>
      </c>
      <c r="G79" t="s">
        <v>80</v>
      </c>
      <c r="H79" t="s">
        <v>38</v>
      </c>
      <c r="I79" t="s">
        <v>166</v>
      </c>
      <c r="J79" t="s">
        <v>123</v>
      </c>
      <c r="K79" s="194"/>
      <c r="L79" s="194"/>
      <c r="M79" t="s">
        <v>84</v>
      </c>
      <c r="N79">
        <v>3242</v>
      </c>
      <c r="O79" s="188"/>
      <c r="P79" s="188"/>
      <c r="Q79" s="188"/>
      <c r="R79" s="188"/>
      <c r="S79" s="188"/>
      <c r="T79" s="188"/>
      <c r="U79" s="188"/>
      <c r="V79" s="188"/>
      <c r="W79" s="188"/>
      <c r="X79" s="188"/>
      <c r="Y79" s="188"/>
      <c r="Z79" s="188"/>
      <c r="AA79" s="188"/>
      <c r="AB79" s="188"/>
      <c r="AC79" s="188"/>
      <c r="AD79" s="188"/>
      <c r="AE79" s="188"/>
      <c r="AF79" s="188"/>
      <c r="AG79" s="188"/>
      <c r="AH79" s="188"/>
      <c r="AI79" s="188"/>
      <c r="AJ79" s="188"/>
      <c r="AK79" s="188"/>
      <c r="AL79" s="188"/>
      <c r="AM79" s="187"/>
      <c r="AN79" s="187"/>
      <c r="AO79" s="187"/>
      <c r="AP79" s="187"/>
      <c r="AQ79" s="187"/>
      <c r="AR79" s="187"/>
      <c r="AS79" s="187"/>
      <c r="AT79" s="187"/>
      <c r="AU79" s="187"/>
      <c r="AV79" s="187"/>
      <c r="AW79" s="187"/>
      <c r="AX79" s="187"/>
      <c r="AY79" s="187"/>
      <c r="AZ79" s="187"/>
      <c r="BA79" s="187"/>
      <c r="BB79" s="187"/>
      <c r="BC79" s="187"/>
      <c r="BD79" s="187"/>
      <c r="BE79" s="187"/>
      <c r="BF79" s="187"/>
      <c r="BG79" s="187"/>
      <c r="BH79" s="187"/>
      <c r="BI79" s="187"/>
      <c r="BJ79" s="187"/>
      <c r="BK79" s="187"/>
      <c r="BL79" s="187"/>
      <c r="BM79" s="187"/>
      <c r="BN79" s="187"/>
      <c r="BO79" s="187"/>
      <c r="BP79" s="187"/>
    </row>
    <row r="80" spans="1:68">
      <c r="A80" t="s">
        <v>326</v>
      </c>
      <c r="B80" t="s">
        <v>66</v>
      </c>
      <c r="C80" s="192">
        <v>1</v>
      </c>
      <c r="D80" s="192">
        <v>18</v>
      </c>
      <c r="E80" t="s">
        <v>47</v>
      </c>
      <c r="F80" t="s">
        <v>36</v>
      </c>
      <c r="G80" t="s">
        <v>37</v>
      </c>
      <c r="H80" t="s">
        <v>38</v>
      </c>
      <c r="I80" t="s">
        <v>328</v>
      </c>
      <c r="J80" t="s">
        <v>123</v>
      </c>
      <c r="K80" s="194">
        <v>46209</v>
      </c>
      <c r="L80" s="194">
        <v>46476</v>
      </c>
      <c r="M80" t="s">
        <v>44</v>
      </c>
      <c r="N80" t="s">
        <v>116</v>
      </c>
      <c r="O80" s="188"/>
      <c r="P80" s="188"/>
      <c r="Q80" s="188"/>
      <c r="R80" s="188"/>
      <c r="S80" s="188"/>
      <c r="T80" s="188"/>
      <c r="U80" s="188"/>
      <c r="V80" s="188"/>
      <c r="W80" s="188"/>
      <c r="X80" s="188"/>
      <c r="Y80" s="188"/>
      <c r="Z80" s="188"/>
      <c r="AA80" s="188"/>
      <c r="AB80" s="188"/>
      <c r="AC80" s="188"/>
      <c r="AD80" s="188"/>
      <c r="AE80" s="188"/>
      <c r="AF80" s="188"/>
      <c r="AG80" s="188"/>
      <c r="AH80" s="188"/>
      <c r="AI80" s="188"/>
      <c r="AJ80" s="188"/>
      <c r="AK80" s="188"/>
      <c r="AL80" s="188"/>
      <c r="AM80" s="187"/>
      <c r="AN80" s="187"/>
      <c r="AO80" s="187"/>
      <c r="AP80" s="187"/>
      <c r="AQ80" s="187"/>
      <c r="AR80" s="187"/>
      <c r="AS80" s="187"/>
      <c r="AT80" s="187"/>
      <c r="AU80" s="187"/>
      <c r="AV80" s="187"/>
      <c r="AW80" s="187"/>
      <c r="AX80" s="187"/>
      <c r="AY80" s="187"/>
      <c r="AZ80" s="187"/>
      <c r="BA80" s="187"/>
      <c r="BB80" s="187"/>
      <c r="BC80" s="187"/>
      <c r="BD80" s="187"/>
      <c r="BE80" s="187"/>
      <c r="BF80" s="187"/>
      <c r="BG80" s="187"/>
      <c r="BH80" s="187"/>
      <c r="BI80" s="187"/>
      <c r="BJ80" s="187"/>
      <c r="BK80" s="187"/>
      <c r="BL80" s="187"/>
      <c r="BM80" s="187"/>
      <c r="BN80" s="187"/>
      <c r="BO80" s="187"/>
      <c r="BP80" s="187"/>
    </row>
    <row r="81" spans="1:68">
      <c r="A81" t="s">
        <v>330</v>
      </c>
      <c r="B81" t="s">
        <v>66</v>
      </c>
      <c r="C81" s="192">
        <v>1</v>
      </c>
      <c r="D81" s="192">
        <v>17</v>
      </c>
      <c r="E81" t="s">
        <v>47</v>
      </c>
      <c r="F81" t="s">
        <v>36</v>
      </c>
      <c r="G81" t="s">
        <v>37</v>
      </c>
      <c r="H81" t="s">
        <v>38</v>
      </c>
      <c r="I81" t="s">
        <v>332</v>
      </c>
      <c r="J81" t="s">
        <v>123</v>
      </c>
      <c r="K81" s="194">
        <v>46209</v>
      </c>
      <c r="L81" s="194">
        <v>46476</v>
      </c>
      <c r="M81" t="s">
        <v>44</v>
      </c>
      <c r="N81" t="s">
        <v>116</v>
      </c>
      <c r="O81" s="188"/>
      <c r="P81" s="188"/>
      <c r="Q81" s="188"/>
      <c r="R81" s="188"/>
      <c r="S81" s="188"/>
      <c r="T81" s="188"/>
      <c r="U81" s="188"/>
      <c r="V81" s="188"/>
      <c r="W81" s="188"/>
      <c r="X81" s="188"/>
      <c r="Y81" s="188"/>
      <c r="Z81" s="188"/>
      <c r="AA81" s="188"/>
      <c r="AB81" s="188"/>
      <c r="AC81" s="188"/>
      <c r="AD81" s="188"/>
      <c r="AE81" s="188"/>
      <c r="AF81" s="188"/>
      <c r="AG81" s="188"/>
      <c r="AH81" s="188"/>
      <c r="AI81" s="188"/>
      <c r="AJ81" s="188"/>
      <c r="AK81" s="188"/>
      <c r="AL81" s="188"/>
      <c r="AM81" s="187"/>
      <c r="AN81" s="187"/>
      <c r="AO81" s="187"/>
      <c r="AP81" s="187"/>
      <c r="AQ81" s="187"/>
      <c r="AR81" s="187"/>
      <c r="AS81" s="187"/>
      <c r="AT81" s="187"/>
      <c r="AU81" s="187"/>
      <c r="AV81" s="187"/>
      <c r="AW81" s="187"/>
      <c r="AX81" s="187"/>
      <c r="AY81" s="187"/>
      <c r="AZ81" s="187"/>
      <c r="BA81" s="187"/>
      <c r="BB81" s="187"/>
      <c r="BC81" s="187"/>
      <c r="BD81" s="187"/>
      <c r="BE81" s="187"/>
      <c r="BF81" s="187"/>
      <c r="BG81" s="187"/>
      <c r="BH81" s="187"/>
      <c r="BI81" s="187"/>
      <c r="BJ81" s="187"/>
      <c r="BK81" s="187"/>
      <c r="BL81" s="187"/>
      <c r="BM81" s="187"/>
      <c r="BN81" s="187"/>
      <c r="BO81" s="187"/>
      <c r="BP81" s="187"/>
    </row>
    <row r="82" spans="1:68">
      <c r="A82" t="s">
        <v>334</v>
      </c>
      <c r="B82" t="s">
        <v>66</v>
      </c>
      <c r="C82" s="192">
        <v>1</v>
      </c>
      <c r="D82" s="192">
        <v>3</v>
      </c>
      <c r="E82" t="s">
        <v>30</v>
      </c>
      <c r="F82" t="s">
        <v>36</v>
      </c>
      <c r="G82" t="s">
        <v>37</v>
      </c>
      <c r="H82" t="s">
        <v>38</v>
      </c>
      <c r="I82" t="s">
        <v>39</v>
      </c>
      <c r="J82" t="s">
        <v>123</v>
      </c>
      <c r="K82" s="194">
        <v>46237</v>
      </c>
      <c r="L82" s="194">
        <v>46414</v>
      </c>
      <c r="M82" t="s">
        <v>89</v>
      </c>
      <c r="N82" t="s">
        <v>116</v>
      </c>
      <c r="O82" s="188"/>
      <c r="P82" s="188"/>
      <c r="Q82" s="188"/>
      <c r="R82" s="188"/>
      <c r="S82" s="188"/>
      <c r="T82" s="188"/>
      <c r="U82" s="188"/>
      <c r="V82" s="188"/>
      <c r="W82" s="188"/>
      <c r="X82" s="188"/>
      <c r="Y82" s="188"/>
      <c r="Z82" s="188"/>
      <c r="AA82" s="188"/>
      <c r="AB82" s="188"/>
      <c r="AC82" s="188"/>
      <c r="AD82" s="188"/>
      <c r="AE82" s="188"/>
      <c r="AF82" s="188"/>
      <c r="AG82" s="188"/>
      <c r="AH82" s="188"/>
      <c r="AI82" s="188"/>
      <c r="AJ82" s="188"/>
      <c r="AK82" s="188"/>
      <c r="AL82" s="188"/>
      <c r="AM82" s="187"/>
      <c r="AN82" s="187"/>
      <c r="AO82" s="187"/>
      <c r="AP82" s="187"/>
      <c r="AQ82" s="187"/>
      <c r="AR82" s="187"/>
      <c r="AS82" s="187"/>
      <c r="AT82" s="187"/>
      <c r="AU82" s="187"/>
      <c r="AV82" s="187"/>
      <c r="AW82" s="187"/>
      <c r="AX82" s="187"/>
      <c r="AY82" s="187"/>
      <c r="AZ82" s="187"/>
      <c r="BA82" s="187"/>
      <c r="BB82" s="187"/>
      <c r="BC82" s="187"/>
      <c r="BD82" s="187"/>
      <c r="BE82" s="187"/>
      <c r="BF82" s="187"/>
      <c r="BG82" s="187"/>
      <c r="BH82" s="187"/>
      <c r="BI82" s="187"/>
      <c r="BJ82" s="187"/>
      <c r="BK82" s="187"/>
      <c r="BL82" s="187"/>
      <c r="BM82" s="187"/>
      <c r="BN82" s="187"/>
      <c r="BO82" s="187"/>
      <c r="BP82" s="187"/>
    </row>
    <row r="83" spans="1:68">
      <c r="A83" t="s">
        <v>337</v>
      </c>
      <c r="B83" t="s">
        <v>66</v>
      </c>
      <c r="C83" s="192">
        <v>1</v>
      </c>
      <c r="D83" s="192">
        <v>26</v>
      </c>
      <c r="E83" t="s">
        <v>30</v>
      </c>
      <c r="F83" t="s">
        <v>36</v>
      </c>
      <c r="G83" t="s">
        <v>37</v>
      </c>
      <c r="H83" t="s">
        <v>38</v>
      </c>
      <c r="I83" t="s">
        <v>340</v>
      </c>
      <c r="J83" t="s">
        <v>123</v>
      </c>
      <c r="K83" s="194">
        <v>46300</v>
      </c>
      <c r="L83" s="194">
        <v>46478</v>
      </c>
      <c r="M83" t="s">
        <v>44</v>
      </c>
      <c r="N83" t="s">
        <v>116</v>
      </c>
      <c r="O83" s="188"/>
      <c r="P83" s="188"/>
      <c r="Q83" s="188"/>
      <c r="R83" s="188"/>
      <c r="S83" s="188"/>
      <c r="T83" s="188"/>
      <c r="U83" s="188"/>
      <c r="V83" s="188"/>
      <c r="W83" s="188"/>
      <c r="X83" s="188"/>
      <c r="Y83" s="188"/>
      <c r="Z83" s="188"/>
      <c r="AA83" s="188"/>
      <c r="AB83" s="188"/>
      <c r="AC83" s="188"/>
      <c r="AD83" s="188"/>
      <c r="AE83" s="188"/>
      <c r="AF83" s="188"/>
      <c r="AG83" s="188"/>
      <c r="AH83" s="188"/>
      <c r="AI83" s="188"/>
      <c r="AJ83" s="188"/>
      <c r="AK83" s="188"/>
      <c r="AL83" s="188"/>
      <c r="AM83" s="187"/>
      <c r="AN83" s="187"/>
      <c r="AO83" s="187"/>
      <c r="AP83" s="187"/>
      <c r="AQ83" s="187"/>
      <c r="AR83" s="187"/>
      <c r="AS83" s="187"/>
      <c r="AT83" s="187"/>
      <c r="AU83" s="187"/>
      <c r="AV83" s="187"/>
      <c r="AW83" s="187"/>
      <c r="AX83" s="187"/>
      <c r="AY83" s="187"/>
      <c r="AZ83" s="187"/>
      <c r="BA83" s="187"/>
      <c r="BB83" s="187"/>
      <c r="BC83" s="187"/>
      <c r="BD83" s="187"/>
      <c r="BE83" s="187"/>
      <c r="BF83" s="187"/>
      <c r="BG83" s="187"/>
      <c r="BH83" s="187"/>
      <c r="BI83" s="187"/>
      <c r="BJ83" s="187"/>
      <c r="BK83" s="187"/>
      <c r="BL83" s="187"/>
      <c r="BM83" s="187"/>
      <c r="BN83" s="187"/>
      <c r="BO83" s="187"/>
      <c r="BP83" s="187"/>
    </row>
    <row r="84" spans="1:68">
      <c r="A84" t="s">
        <v>341</v>
      </c>
      <c r="B84" t="s">
        <v>68</v>
      </c>
      <c r="C84" s="192">
        <v>1</v>
      </c>
      <c r="D84" s="192">
        <v>11</v>
      </c>
      <c r="E84" t="s">
        <v>74</v>
      </c>
      <c r="F84" t="s">
        <v>36</v>
      </c>
      <c r="G84" t="s">
        <v>37</v>
      </c>
      <c r="H84" t="s">
        <v>38</v>
      </c>
      <c r="I84" t="s">
        <v>239</v>
      </c>
      <c r="J84" t="s">
        <v>132</v>
      </c>
      <c r="K84" s="194">
        <v>46204</v>
      </c>
      <c r="L84" s="194">
        <v>46316</v>
      </c>
      <c r="M84" t="s">
        <v>85</v>
      </c>
      <c r="N84" t="s">
        <v>116</v>
      </c>
      <c r="O84" s="188"/>
      <c r="P84" s="188"/>
      <c r="Q84" s="188"/>
      <c r="R84" s="188"/>
      <c r="S84" s="188"/>
      <c r="T84" s="188"/>
      <c r="U84" s="188"/>
      <c r="V84" s="188"/>
      <c r="W84" s="188"/>
      <c r="X84" s="188"/>
      <c r="Y84" s="188"/>
      <c r="Z84" s="188"/>
      <c r="AA84" s="188"/>
      <c r="AB84" s="188"/>
      <c r="AC84" s="188"/>
      <c r="AD84" s="188"/>
      <c r="AE84" s="188"/>
      <c r="AF84" s="188"/>
      <c r="AG84" s="188"/>
      <c r="AH84" s="188"/>
      <c r="AI84" s="188"/>
      <c r="AJ84" s="188"/>
      <c r="AK84" s="188"/>
      <c r="AL84" s="188"/>
      <c r="AM84" s="187"/>
      <c r="AN84" s="187"/>
      <c r="AO84" s="187"/>
      <c r="AP84" s="187"/>
      <c r="AQ84" s="187"/>
      <c r="AR84" s="187"/>
      <c r="AS84" s="187"/>
      <c r="AT84" s="187"/>
      <c r="AU84" s="187"/>
      <c r="AV84" s="187"/>
      <c r="AW84" s="187"/>
      <c r="AX84" s="187"/>
      <c r="AY84" s="187"/>
      <c r="AZ84" s="187"/>
      <c r="BA84" s="187"/>
      <c r="BB84" s="187"/>
      <c r="BC84" s="187"/>
      <c r="BD84" s="187"/>
      <c r="BE84" s="187"/>
      <c r="BF84" s="187"/>
      <c r="BG84" s="187"/>
      <c r="BH84" s="187"/>
      <c r="BI84" s="187"/>
      <c r="BJ84" s="187"/>
      <c r="BK84" s="187"/>
      <c r="BL84" s="187"/>
      <c r="BM84" s="187"/>
      <c r="BN84" s="187"/>
      <c r="BO84" s="187"/>
      <c r="BP84" s="187"/>
    </row>
    <row r="85" spans="1:68">
      <c r="A85" t="s">
        <v>342</v>
      </c>
      <c r="B85" t="s">
        <v>66</v>
      </c>
      <c r="C85" s="192">
        <v>1</v>
      </c>
      <c r="D85" s="192">
        <v>6</v>
      </c>
      <c r="E85" t="s">
        <v>30</v>
      </c>
      <c r="F85" t="s">
        <v>36</v>
      </c>
      <c r="G85" t="s">
        <v>37</v>
      </c>
      <c r="H85" t="s">
        <v>38</v>
      </c>
      <c r="I85" t="s">
        <v>280</v>
      </c>
      <c r="J85" t="s">
        <v>123</v>
      </c>
      <c r="K85" s="194">
        <v>46251</v>
      </c>
      <c r="L85" s="194">
        <v>46427</v>
      </c>
      <c r="M85" t="s">
        <v>93</v>
      </c>
      <c r="N85">
        <v>3225</v>
      </c>
      <c r="O85" s="188"/>
      <c r="P85" s="188"/>
      <c r="Q85" s="188"/>
      <c r="R85" s="188"/>
      <c r="S85" s="188"/>
      <c r="T85" s="188"/>
      <c r="U85" s="188"/>
      <c r="V85" s="188"/>
      <c r="W85" s="188"/>
      <c r="X85" s="188"/>
      <c r="Y85" s="188"/>
      <c r="Z85" s="188"/>
      <c r="AA85" s="188"/>
      <c r="AB85" s="188"/>
      <c r="AC85" s="188"/>
      <c r="AD85" s="188"/>
      <c r="AE85" s="188"/>
      <c r="AF85" s="188"/>
      <c r="AG85" s="188"/>
      <c r="AH85" s="188"/>
      <c r="AI85" s="188"/>
      <c r="AJ85" s="188"/>
      <c r="AK85" s="188"/>
      <c r="AL85" s="188"/>
      <c r="AM85" s="187"/>
      <c r="AN85" s="187"/>
      <c r="AO85" s="187"/>
      <c r="AP85" s="187"/>
      <c r="AQ85" s="187"/>
      <c r="AR85" s="187"/>
      <c r="AS85" s="187"/>
      <c r="AT85" s="187"/>
      <c r="AU85" s="187"/>
      <c r="AV85" s="187"/>
      <c r="AW85" s="187"/>
      <c r="AX85" s="187"/>
      <c r="AY85" s="187"/>
      <c r="AZ85" s="187"/>
      <c r="BA85" s="187"/>
      <c r="BB85" s="187"/>
      <c r="BC85" s="187"/>
      <c r="BD85" s="187"/>
      <c r="BE85" s="187"/>
      <c r="BF85" s="187"/>
      <c r="BG85" s="187"/>
      <c r="BH85" s="187"/>
      <c r="BI85" s="187"/>
      <c r="BJ85" s="187"/>
      <c r="BK85" s="187"/>
      <c r="BL85" s="187"/>
      <c r="BM85" s="187"/>
      <c r="BN85" s="187"/>
      <c r="BO85" s="187"/>
      <c r="BP85" s="187"/>
    </row>
    <row r="86" spans="1:68">
      <c r="A86" t="s">
        <v>344</v>
      </c>
      <c r="B86" t="s">
        <v>66</v>
      </c>
      <c r="C86" s="192">
        <v>1</v>
      </c>
      <c r="D86" s="192">
        <v>1</v>
      </c>
      <c r="E86" t="s">
        <v>30</v>
      </c>
      <c r="F86" t="s">
        <v>36</v>
      </c>
      <c r="G86" t="s">
        <v>37</v>
      </c>
      <c r="H86" t="s">
        <v>55</v>
      </c>
      <c r="I86" t="s">
        <v>56</v>
      </c>
      <c r="J86" t="s">
        <v>123</v>
      </c>
      <c r="K86" s="194">
        <v>46188</v>
      </c>
      <c r="L86" s="194">
        <v>46367</v>
      </c>
      <c r="M86" t="s">
        <v>87</v>
      </c>
      <c r="N86" t="s">
        <v>116</v>
      </c>
      <c r="O86" s="188"/>
      <c r="P86" s="188"/>
      <c r="Q86" s="188"/>
      <c r="R86" s="188"/>
      <c r="S86" s="188"/>
      <c r="T86" s="188"/>
      <c r="U86" s="188"/>
      <c r="V86" s="188"/>
      <c r="W86" s="188"/>
      <c r="X86" s="188"/>
      <c r="Y86" s="188"/>
      <c r="Z86" s="188"/>
      <c r="AA86" s="188"/>
      <c r="AB86" s="188"/>
      <c r="AC86" s="188"/>
      <c r="AD86" s="188"/>
      <c r="AE86" s="188"/>
      <c r="AF86" s="188"/>
      <c r="AG86" s="188"/>
      <c r="AH86" s="188"/>
      <c r="AI86" s="188"/>
      <c r="AJ86" s="188"/>
      <c r="AK86" s="188"/>
      <c r="AL86" s="188"/>
      <c r="AM86" s="187"/>
      <c r="AN86" s="187"/>
      <c r="AO86" s="187"/>
      <c r="AP86" s="187"/>
      <c r="AQ86" s="187"/>
      <c r="AR86" s="187"/>
      <c r="AS86" s="187"/>
      <c r="AT86" s="187"/>
      <c r="AU86" s="187"/>
      <c r="AV86" s="187"/>
      <c r="AW86" s="187"/>
      <c r="AX86" s="187"/>
      <c r="AY86" s="187"/>
      <c r="AZ86" s="187"/>
      <c r="BA86" s="187"/>
      <c r="BB86" s="187"/>
      <c r="BC86" s="187"/>
      <c r="BD86" s="187"/>
      <c r="BE86" s="187"/>
      <c r="BF86" s="187"/>
      <c r="BG86" s="187"/>
      <c r="BH86" s="187"/>
      <c r="BI86" s="187"/>
      <c r="BJ86" s="187"/>
      <c r="BK86" s="187"/>
      <c r="BL86" s="187"/>
      <c r="BM86" s="187"/>
      <c r="BN86" s="187"/>
      <c r="BO86" s="187"/>
      <c r="BP86" s="187"/>
    </row>
    <row r="87" spans="1:68" s="238" customFormat="1">
      <c r="A87" s="233" t="s">
        <v>346</v>
      </c>
      <c r="B87" s="233" t="s">
        <v>68</v>
      </c>
      <c r="C87" s="234">
        <v>1</v>
      </c>
      <c r="D87" s="234">
        <v>13</v>
      </c>
      <c r="E87" s="233" t="s">
        <v>30</v>
      </c>
      <c r="F87" s="233" t="s">
        <v>63</v>
      </c>
      <c r="G87" s="233" t="s">
        <v>37</v>
      </c>
      <c r="H87" s="233" t="s">
        <v>38</v>
      </c>
      <c r="I87" s="233" t="s">
        <v>299</v>
      </c>
      <c r="J87" s="233" t="s">
        <v>132</v>
      </c>
      <c r="K87" s="235">
        <v>46329</v>
      </c>
      <c r="L87" s="235">
        <v>46506</v>
      </c>
      <c r="M87" s="233" t="s">
        <v>94</v>
      </c>
      <c r="N87" s="233" t="s">
        <v>116</v>
      </c>
      <c r="O87" s="236"/>
      <c r="P87" s="236"/>
      <c r="Q87" s="236"/>
      <c r="R87" s="236"/>
      <c r="S87" s="236"/>
      <c r="T87" s="236"/>
      <c r="U87" s="236"/>
      <c r="V87" s="236"/>
      <c r="W87" s="236"/>
      <c r="X87" s="236"/>
      <c r="Y87" s="236"/>
      <c r="Z87" s="236"/>
      <c r="AA87" s="236"/>
      <c r="AB87" s="236"/>
      <c r="AC87" s="236"/>
      <c r="AD87" s="236"/>
      <c r="AE87" s="236"/>
      <c r="AF87" s="236"/>
      <c r="AG87" s="236"/>
      <c r="AH87" s="236"/>
      <c r="AI87" s="236"/>
      <c r="AJ87" s="236"/>
      <c r="AK87" s="236"/>
      <c r="AL87" s="236"/>
      <c r="AM87" s="237"/>
      <c r="AN87" s="237"/>
      <c r="AO87" s="237"/>
      <c r="AP87" s="237"/>
      <c r="AQ87" s="237"/>
      <c r="AR87" s="237"/>
      <c r="AS87" s="237"/>
      <c r="AT87" s="237"/>
      <c r="AU87" s="237"/>
      <c r="AV87" s="237"/>
      <c r="AW87" s="237"/>
      <c r="AX87" s="237"/>
      <c r="AY87" s="237"/>
      <c r="AZ87" s="237"/>
      <c r="BA87" s="237"/>
      <c r="BB87" s="237"/>
      <c r="BC87" s="237"/>
      <c r="BD87" s="237"/>
      <c r="BE87" s="237"/>
      <c r="BF87" s="237"/>
      <c r="BG87" s="237"/>
      <c r="BH87" s="237"/>
      <c r="BI87" s="237"/>
      <c r="BJ87" s="237"/>
      <c r="BK87" s="237"/>
      <c r="BL87" s="237"/>
      <c r="BM87" s="237"/>
      <c r="BN87" s="237"/>
      <c r="BO87" s="237"/>
      <c r="BP87" s="237"/>
    </row>
    <row r="88" spans="1:68">
      <c r="A88" t="s">
        <v>347</v>
      </c>
      <c r="B88" t="s">
        <v>31</v>
      </c>
      <c r="C88" s="192">
        <v>1</v>
      </c>
      <c r="D88" s="192">
        <v>8</v>
      </c>
      <c r="E88" t="s">
        <v>47</v>
      </c>
      <c r="F88" t="s">
        <v>49</v>
      </c>
      <c r="G88" t="s">
        <v>37</v>
      </c>
      <c r="H88" t="s">
        <v>38</v>
      </c>
      <c r="I88" t="s">
        <v>50</v>
      </c>
      <c r="J88" t="s">
        <v>40</v>
      </c>
      <c r="K88" s="194">
        <v>46249</v>
      </c>
      <c r="L88" s="194">
        <v>46511</v>
      </c>
      <c r="M88" t="s">
        <v>94</v>
      </c>
      <c r="N88">
        <v>3336</v>
      </c>
      <c r="O88" s="188"/>
      <c r="P88" s="188"/>
      <c r="Q88" s="188"/>
      <c r="R88" s="188"/>
      <c r="S88" s="188"/>
      <c r="T88" s="188"/>
      <c r="U88" s="188"/>
      <c r="V88" s="188"/>
      <c r="W88" s="188"/>
      <c r="X88" s="188"/>
      <c r="Y88" s="188"/>
      <c r="Z88" s="188"/>
      <c r="AA88" s="188"/>
      <c r="AB88" s="188"/>
      <c r="AC88" s="188"/>
      <c r="AD88" s="188"/>
      <c r="AE88" s="188"/>
      <c r="AF88" s="188"/>
      <c r="AG88" s="188"/>
      <c r="AH88" s="188"/>
      <c r="AI88" s="188"/>
      <c r="AJ88" s="188"/>
      <c r="AK88" s="188"/>
      <c r="AL88" s="188"/>
      <c r="AM88" s="187"/>
      <c r="AN88" s="187"/>
      <c r="AO88" s="187"/>
      <c r="AP88" s="187"/>
      <c r="AQ88" s="187"/>
      <c r="AR88" s="187"/>
      <c r="AS88" s="187"/>
      <c r="AT88" s="187"/>
      <c r="AU88" s="187"/>
      <c r="AV88" s="187"/>
      <c r="AW88" s="187"/>
      <c r="AX88" s="187"/>
      <c r="AY88" s="187"/>
      <c r="AZ88" s="187"/>
      <c r="BA88" s="187"/>
      <c r="BB88" s="187"/>
      <c r="BC88" s="187"/>
      <c r="BD88" s="187"/>
      <c r="BE88" s="187"/>
      <c r="BF88" s="187"/>
      <c r="BG88" s="187"/>
      <c r="BH88" s="187"/>
      <c r="BI88" s="187"/>
      <c r="BJ88" s="187"/>
      <c r="BK88" s="187"/>
      <c r="BL88" s="187"/>
      <c r="BM88" s="187"/>
      <c r="BN88" s="187"/>
      <c r="BO88" s="187"/>
      <c r="BP88" s="187"/>
    </row>
    <row r="89" spans="1:68">
      <c r="A89" t="s">
        <v>350</v>
      </c>
      <c r="B89" t="s">
        <v>31</v>
      </c>
      <c r="C89" s="192">
        <v>1</v>
      </c>
      <c r="D89" s="192">
        <v>4</v>
      </c>
      <c r="E89" t="s">
        <v>74</v>
      </c>
      <c r="F89" t="s">
        <v>54</v>
      </c>
      <c r="G89" t="s">
        <v>37</v>
      </c>
      <c r="H89" t="s">
        <v>55</v>
      </c>
      <c r="I89" t="s">
        <v>56</v>
      </c>
      <c r="J89" t="s">
        <v>40</v>
      </c>
      <c r="K89" s="194">
        <v>46209</v>
      </c>
      <c r="L89" s="194">
        <v>46321</v>
      </c>
      <c r="M89" t="s">
        <v>85</v>
      </c>
      <c r="N89" t="s">
        <v>116</v>
      </c>
      <c r="O89" s="188"/>
      <c r="P89" s="188"/>
      <c r="Q89" s="188"/>
      <c r="R89" s="188"/>
      <c r="S89" s="188"/>
      <c r="T89" s="188"/>
      <c r="U89" s="188"/>
      <c r="V89" s="188"/>
      <c r="W89" s="188"/>
      <c r="X89" s="188"/>
      <c r="Y89" s="188"/>
      <c r="Z89" s="188"/>
      <c r="AA89" s="188"/>
      <c r="AB89" s="188"/>
      <c r="AC89" s="188"/>
      <c r="AD89" s="188"/>
      <c r="AE89" s="188"/>
      <c r="AF89" s="188"/>
      <c r="AG89" s="188"/>
      <c r="AH89" s="188"/>
      <c r="AI89" s="188"/>
      <c r="AJ89" s="188"/>
      <c r="AK89" s="188"/>
      <c r="AL89" s="188"/>
      <c r="AM89" s="187"/>
      <c r="AN89" s="187"/>
      <c r="AO89" s="187"/>
      <c r="AP89" s="187"/>
      <c r="AQ89" s="187"/>
      <c r="AR89" s="187"/>
      <c r="AS89" s="187"/>
      <c r="AT89" s="187"/>
      <c r="AU89" s="187"/>
      <c r="AV89" s="187"/>
      <c r="AW89" s="187"/>
      <c r="AX89" s="187"/>
      <c r="AY89" s="187"/>
      <c r="AZ89" s="187"/>
      <c r="BA89" s="187"/>
      <c r="BB89" s="187"/>
      <c r="BC89" s="187"/>
      <c r="BD89" s="187"/>
      <c r="BE89" s="187"/>
      <c r="BF89" s="187"/>
      <c r="BG89" s="187"/>
      <c r="BH89" s="187"/>
      <c r="BI89" s="187"/>
      <c r="BJ89" s="187"/>
      <c r="BK89" s="187"/>
      <c r="BL89" s="187"/>
      <c r="BM89" s="187"/>
      <c r="BN89" s="187"/>
      <c r="BO89" s="187"/>
      <c r="BP89" s="187"/>
    </row>
    <row r="90" spans="1:68">
      <c r="A90" t="s">
        <v>351</v>
      </c>
      <c r="B90" t="s">
        <v>66</v>
      </c>
      <c r="C90" s="192">
        <v>1</v>
      </c>
      <c r="D90" s="192">
        <v>25</v>
      </c>
      <c r="E90" t="s">
        <v>30</v>
      </c>
      <c r="F90" t="s">
        <v>36</v>
      </c>
      <c r="G90" t="s">
        <v>37</v>
      </c>
      <c r="H90" t="s">
        <v>38</v>
      </c>
      <c r="I90" t="s">
        <v>192</v>
      </c>
      <c r="J90" t="s">
        <v>123</v>
      </c>
      <c r="K90" s="194">
        <v>46237</v>
      </c>
      <c r="L90" s="194">
        <v>46414</v>
      </c>
      <c r="M90" t="s">
        <v>89</v>
      </c>
      <c r="N90" t="s">
        <v>116</v>
      </c>
      <c r="O90" s="188"/>
      <c r="P90" s="188"/>
      <c r="Q90" s="188"/>
      <c r="R90" s="188"/>
      <c r="S90" s="188"/>
      <c r="T90" s="188"/>
      <c r="U90" s="188"/>
      <c r="V90" s="188"/>
      <c r="W90" s="188"/>
      <c r="X90" s="188"/>
      <c r="Y90" s="188"/>
      <c r="Z90" s="188"/>
      <c r="AA90" s="188"/>
      <c r="AB90" s="188"/>
      <c r="AC90" s="188"/>
      <c r="AD90" s="188"/>
      <c r="AE90" s="188"/>
      <c r="AF90" s="188"/>
      <c r="AG90" s="188"/>
      <c r="AH90" s="188"/>
      <c r="AI90" s="188"/>
      <c r="AJ90" s="188"/>
      <c r="AK90" s="188"/>
      <c r="AL90" s="188"/>
      <c r="AM90" s="187"/>
      <c r="AN90" s="187"/>
      <c r="AO90" s="187"/>
      <c r="AP90" s="187"/>
      <c r="AQ90" s="187"/>
      <c r="AR90" s="187"/>
      <c r="AS90" s="187"/>
      <c r="AT90" s="187"/>
      <c r="AU90" s="187"/>
      <c r="AV90" s="187"/>
      <c r="AW90" s="187"/>
      <c r="AX90" s="187"/>
      <c r="AY90" s="187"/>
      <c r="AZ90" s="187"/>
      <c r="BA90" s="187"/>
      <c r="BB90" s="187"/>
      <c r="BC90" s="187"/>
      <c r="BD90" s="187"/>
      <c r="BE90" s="187"/>
      <c r="BF90" s="187"/>
      <c r="BG90" s="187"/>
      <c r="BH90" s="187"/>
      <c r="BI90" s="187"/>
      <c r="BJ90" s="187"/>
      <c r="BK90" s="187"/>
      <c r="BL90" s="187"/>
      <c r="BM90" s="187"/>
      <c r="BN90" s="187"/>
      <c r="BO90" s="187"/>
      <c r="BP90" s="187"/>
    </row>
    <row r="91" spans="1:68">
      <c r="A91" t="s">
        <v>354</v>
      </c>
      <c r="B91" t="s">
        <v>66</v>
      </c>
      <c r="C91" s="192">
        <v>1</v>
      </c>
      <c r="D91" s="192">
        <v>13</v>
      </c>
      <c r="E91" t="s">
        <v>30</v>
      </c>
      <c r="F91" t="s">
        <v>36</v>
      </c>
      <c r="G91" t="s">
        <v>37</v>
      </c>
      <c r="H91" t="s">
        <v>38</v>
      </c>
      <c r="I91" t="s">
        <v>39</v>
      </c>
      <c r="J91" t="s">
        <v>123</v>
      </c>
      <c r="K91" s="194">
        <v>46251</v>
      </c>
      <c r="L91" s="194">
        <v>46427</v>
      </c>
      <c r="M91" t="s">
        <v>93</v>
      </c>
      <c r="N91">
        <v>3226</v>
      </c>
      <c r="O91" s="188"/>
      <c r="P91" s="188"/>
      <c r="Q91" s="188"/>
      <c r="R91" s="188"/>
      <c r="S91" s="188"/>
      <c r="T91" s="188"/>
      <c r="U91" s="188"/>
      <c r="V91" s="188"/>
      <c r="W91" s="188"/>
      <c r="X91" s="188"/>
      <c r="Y91" s="188"/>
      <c r="Z91" s="188"/>
      <c r="AA91" s="188"/>
      <c r="AB91" s="188"/>
      <c r="AC91" s="188"/>
      <c r="AD91" s="188"/>
      <c r="AE91" s="188"/>
      <c r="AF91" s="188"/>
      <c r="AG91" s="188"/>
      <c r="AH91" s="188"/>
      <c r="AI91" s="188"/>
      <c r="AJ91" s="188"/>
      <c r="AK91" s="188"/>
      <c r="AL91" s="188"/>
      <c r="AM91" s="187"/>
      <c r="AN91" s="187"/>
      <c r="AO91" s="187"/>
      <c r="AP91" s="187"/>
      <c r="AQ91" s="187"/>
      <c r="AR91" s="187"/>
      <c r="AS91" s="187"/>
      <c r="AT91" s="187"/>
      <c r="AU91" s="187"/>
      <c r="AV91" s="187"/>
      <c r="AW91" s="187"/>
      <c r="AX91" s="187"/>
      <c r="AY91" s="187"/>
      <c r="AZ91" s="187"/>
      <c r="BA91" s="187"/>
      <c r="BB91" s="187"/>
      <c r="BC91" s="187"/>
      <c r="BD91" s="187"/>
      <c r="BE91" s="187"/>
      <c r="BF91" s="187"/>
      <c r="BG91" s="187"/>
      <c r="BH91" s="187"/>
      <c r="BI91" s="187"/>
      <c r="BJ91" s="187"/>
      <c r="BK91" s="187"/>
      <c r="BL91" s="187"/>
      <c r="BM91" s="187"/>
      <c r="BN91" s="187"/>
      <c r="BO91" s="187"/>
      <c r="BP91" s="187"/>
    </row>
    <row r="92" spans="1:68">
      <c r="A92" t="s">
        <v>357</v>
      </c>
      <c r="B92" t="s">
        <v>66</v>
      </c>
      <c r="C92" s="192">
        <v>1</v>
      </c>
      <c r="D92" s="192">
        <v>4</v>
      </c>
      <c r="E92" t="s">
        <v>76</v>
      </c>
      <c r="F92" t="s">
        <v>36</v>
      </c>
      <c r="G92" t="s">
        <v>37</v>
      </c>
      <c r="H92" t="s">
        <v>55</v>
      </c>
      <c r="I92" t="s">
        <v>56</v>
      </c>
      <c r="J92" t="s">
        <v>123</v>
      </c>
      <c r="K92" s="194">
        <v>46237</v>
      </c>
      <c r="L92" s="194">
        <v>46555</v>
      </c>
      <c r="M92" t="s">
        <v>96</v>
      </c>
      <c r="N92">
        <v>3223</v>
      </c>
      <c r="O92" s="188"/>
      <c r="P92" s="188"/>
      <c r="Q92" s="188"/>
      <c r="R92" s="188"/>
      <c r="S92" s="188"/>
      <c r="T92" s="188"/>
      <c r="U92" s="188"/>
      <c r="V92" s="188"/>
      <c r="W92" s="188"/>
      <c r="X92" s="188"/>
      <c r="Y92" s="188"/>
      <c r="Z92" s="188"/>
      <c r="AA92" s="188"/>
      <c r="AB92" s="188"/>
      <c r="AC92" s="188"/>
      <c r="AD92" s="188"/>
      <c r="AE92" s="188"/>
      <c r="AF92" s="188"/>
      <c r="AG92" s="188"/>
      <c r="AH92" s="188"/>
      <c r="AI92" s="188"/>
      <c r="AJ92" s="188"/>
      <c r="AK92" s="188"/>
      <c r="AL92" s="188"/>
      <c r="AM92" s="187"/>
      <c r="AN92" s="187"/>
      <c r="AO92" s="187"/>
      <c r="AP92" s="187"/>
      <c r="AQ92" s="187"/>
      <c r="AR92" s="187"/>
      <c r="AS92" s="187"/>
      <c r="AT92" s="187"/>
      <c r="AU92" s="187"/>
      <c r="AV92" s="187"/>
      <c r="AW92" s="187"/>
      <c r="AX92" s="187"/>
      <c r="AY92" s="187"/>
      <c r="AZ92" s="187"/>
      <c r="BA92" s="187"/>
      <c r="BB92" s="187"/>
      <c r="BC92" s="187"/>
      <c r="BD92" s="187"/>
      <c r="BE92" s="187"/>
      <c r="BF92" s="187"/>
      <c r="BG92" s="187"/>
      <c r="BH92" s="187"/>
      <c r="BI92" s="187"/>
      <c r="BJ92" s="187"/>
      <c r="BK92" s="187"/>
      <c r="BL92" s="187"/>
      <c r="BM92" s="187"/>
      <c r="BN92" s="187"/>
      <c r="BO92" s="187"/>
      <c r="BP92" s="187"/>
    </row>
    <row r="93" spans="1:68">
      <c r="A93" t="s">
        <v>360</v>
      </c>
      <c r="B93" t="s">
        <v>68</v>
      </c>
      <c r="C93" s="192">
        <v>1</v>
      </c>
      <c r="D93" s="192">
        <v>15</v>
      </c>
      <c r="E93" t="s">
        <v>30</v>
      </c>
      <c r="F93" t="s">
        <v>36</v>
      </c>
      <c r="G93" t="s">
        <v>79</v>
      </c>
      <c r="H93" t="s">
        <v>38</v>
      </c>
      <c r="I93" t="s">
        <v>361</v>
      </c>
      <c r="J93" t="s">
        <v>132</v>
      </c>
      <c r="K93" s="194"/>
      <c r="L93" s="194"/>
      <c r="M93" t="s">
        <v>84</v>
      </c>
      <c r="N93" t="s">
        <v>363</v>
      </c>
      <c r="O93" s="188"/>
      <c r="P93" s="188"/>
      <c r="Q93" s="188"/>
      <c r="R93" s="188"/>
      <c r="S93" s="188"/>
      <c r="T93" s="188"/>
      <c r="U93" s="188"/>
      <c r="V93" s="188"/>
      <c r="W93" s="188"/>
      <c r="X93" s="188"/>
      <c r="Y93" s="188"/>
      <c r="Z93" s="188"/>
      <c r="AA93" s="188"/>
      <c r="AB93" s="188"/>
      <c r="AC93" s="188"/>
      <c r="AD93" s="188"/>
      <c r="AE93" s="188"/>
      <c r="AF93" s="188"/>
      <c r="AG93" s="188"/>
      <c r="AH93" s="188"/>
      <c r="AI93" s="188"/>
      <c r="AJ93" s="188"/>
      <c r="AK93" s="188"/>
      <c r="AL93" s="188"/>
      <c r="AM93" s="187"/>
      <c r="AN93" s="187"/>
      <c r="AO93" s="187"/>
      <c r="AP93" s="187"/>
      <c r="AQ93" s="187"/>
      <c r="AR93" s="187"/>
      <c r="AS93" s="187"/>
      <c r="AT93" s="187"/>
      <c r="AU93" s="187"/>
      <c r="AV93" s="187"/>
      <c r="AW93" s="187"/>
      <c r="AX93" s="187"/>
      <c r="AY93" s="187"/>
      <c r="AZ93" s="187"/>
      <c r="BA93" s="187"/>
      <c r="BB93" s="187"/>
      <c r="BC93" s="187"/>
      <c r="BD93" s="187"/>
      <c r="BE93" s="187"/>
      <c r="BF93" s="187"/>
      <c r="BG93" s="187"/>
      <c r="BH93" s="187"/>
      <c r="BI93" s="187"/>
      <c r="BJ93" s="187"/>
      <c r="BK93" s="187"/>
      <c r="BL93" s="187"/>
      <c r="BM93" s="187"/>
      <c r="BN93" s="187"/>
      <c r="BO93" s="187"/>
      <c r="BP93" s="187"/>
    </row>
    <row r="94" spans="1:68">
      <c r="A94" t="s">
        <v>364</v>
      </c>
      <c r="B94" t="s">
        <v>68</v>
      </c>
      <c r="C94" s="192">
        <v>1</v>
      </c>
      <c r="D94" s="192">
        <v>12</v>
      </c>
      <c r="E94" t="s">
        <v>30</v>
      </c>
      <c r="F94" t="s">
        <v>36</v>
      </c>
      <c r="G94" t="s">
        <v>37</v>
      </c>
      <c r="H94" t="s">
        <v>38</v>
      </c>
      <c r="I94" t="s">
        <v>299</v>
      </c>
      <c r="J94" t="s">
        <v>132</v>
      </c>
      <c r="K94" s="194">
        <v>46237</v>
      </c>
      <c r="L94" s="194">
        <v>46414</v>
      </c>
      <c r="M94" t="s">
        <v>89</v>
      </c>
      <c r="N94" t="s">
        <v>116</v>
      </c>
      <c r="O94" s="188"/>
      <c r="P94" s="188"/>
      <c r="Q94" s="188"/>
      <c r="R94" s="188"/>
      <c r="S94" s="188"/>
      <c r="T94" s="188"/>
      <c r="U94" s="188"/>
      <c r="V94" s="188"/>
      <c r="W94" s="188"/>
      <c r="X94" s="188"/>
      <c r="Y94" s="188"/>
      <c r="Z94" s="188"/>
      <c r="AA94" s="188"/>
      <c r="AB94" s="188"/>
      <c r="AC94" s="188"/>
      <c r="AD94" s="188"/>
      <c r="AE94" s="188"/>
      <c r="AF94" s="188"/>
      <c r="AG94" s="188"/>
      <c r="AH94" s="188"/>
      <c r="AI94" s="188"/>
      <c r="AJ94" s="188"/>
      <c r="AK94" s="188"/>
      <c r="AL94" s="188"/>
      <c r="AM94" s="187"/>
      <c r="AN94" s="187"/>
      <c r="AO94" s="187"/>
      <c r="AP94" s="187"/>
      <c r="AQ94" s="187"/>
      <c r="AR94" s="187"/>
      <c r="AS94" s="187"/>
      <c r="AT94" s="187"/>
      <c r="AU94" s="187"/>
      <c r="AV94" s="187"/>
      <c r="AW94" s="187"/>
      <c r="AX94" s="187"/>
      <c r="AY94" s="187"/>
      <c r="AZ94" s="187"/>
      <c r="BA94" s="187"/>
      <c r="BB94" s="187"/>
      <c r="BC94" s="187"/>
      <c r="BD94" s="187"/>
      <c r="BE94" s="187"/>
      <c r="BF94" s="187"/>
      <c r="BG94" s="187"/>
      <c r="BH94" s="187"/>
      <c r="BI94" s="187"/>
      <c r="BJ94" s="187"/>
      <c r="BK94" s="187"/>
      <c r="BL94" s="187"/>
      <c r="BM94" s="187"/>
      <c r="BN94" s="187"/>
      <c r="BO94" s="187"/>
      <c r="BP94" s="187"/>
    </row>
    <row r="95" spans="1:68">
      <c r="A95" t="s">
        <v>365</v>
      </c>
      <c r="B95" t="s">
        <v>31</v>
      </c>
      <c r="C95" s="192">
        <v>1</v>
      </c>
      <c r="D95" s="192">
        <v>1</v>
      </c>
      <c r="E95" t="s">
        <v>74</v>
      </c>
      <c r="F95" t="s">
        <v>62</v>
      </c>
      <c r="G95" t="s">
        <v>37</v>
      </c>
      <c r="H95" t="s">
        <v>55</v>
      </c>
      <c r="I95" t="s">
        <v>56</v>
      </c>
      <c r="J95" t="s">
        <v>40</v>
      </c>
      <c r="K95" s="194">
        <v>46209</v>
      </c>
      <c r="L95" s="194">
        <v>46321</v>
      </c>
      <c r="M95" t="s">
        <v>85</v>
      </c>
      <c r="N95" t="s">
        <v>116</v>
      </c>
      <c r="O95" s="188"/>
      <c r="P95" s="188"/>
      <c r="Q95" s="188"/>
      <c r="R95" s="188"/>
      <c r="S95" s="188"/>
      <c r="T95" s="188"/>
      <c r="U95" s="188"/>
      <c r="V95" s="188"/>
      <c r="W95" s="188"/>
      <c r="X95" s="188"/>
      <c r="Y95" s="188"/>
      <c r="Z95" s="188"/>
      <c r="AA95" s="188"/>
      <c r="AB95" s="188"/>
      <c r="AC95" s="188"/>
      <c r="AD95" s="188"/>
      <c r="AE95" s="188"/>
      <c r="AF95" s="188"/>
      <c r="AG95" s="188"/>
      <c r="AH95" s="188"/>
      <c r="AI95" s="188"/>
      <c r="AJ95" s="188"/>
      <c r="AK95" s="188"/>
      <c r="AL95" s="188"/>
      <c r="AM95" s="187"/>
      <c r="AN95" s="187"/>
      <c r="AO95" s="187"/>
      <c r="AP95" s="187"/>
      <c r="AQ95" s="187"/>
      <c r="AR95" s="187"/>
      <c r="AS95" s="187"/>
      <c r="AT95" s="187"/>
      <c r="AU95" s="187"/>
      <c r="AV95" s="187"/>
      <c r="AW95" s="187"/>
      <c r="AX95" s="187"/>
      <c r="AY95" s="187"/>
      <c r="AZ95" s="187"/>
      <c r="BA95" s="187"/>
      <c r="BB95" s="187"/>
      <c r="BC95" s="187"/>
      <c r="BD95" s="187"/>
      <c r="BE95" s="187"/>
      <c r="BF95" s="187"/>
      <c r="BG95" s="187"/>
      <c r="BH95" s="187"/>
      <c r="BI95" s="187"/>
      <c r="BJ95" s="187"/>
      <c r="BK95" s="187"/>
      <c r="BL95" s="187"/>
      <c r="BM95" s="187"/>
      <c r="BN95" s="187"/>
      <c r="BO95" s="187"/>
      <c r="BP95" s="187"/>
    </row>
    <row r="96" spans="1:68">
      <c r="A96" t="s">
        <v>366</v>
      </c>
      <c r="B96" t="s">
        <v>66</v>
      </c>
      <c r="C96" s="192">
        <v>1</v>
      </c>
      <c r="D96" s="192">
        <v>16</v>
      </c>
      <c r="E96" t="s">
        <v>47</v>
      </c>
      <c r="F96" t="s">
        <v>36</v>
      </c>
      <c r="G96" t="s">
        <v>37</v>
      </c>
      <c r="H96" t="s">
        <v>38</v>
      </c>
      <c r="I96" t="s">
        <v>234</v>
      </c>
      <c r="J96" t="s">
        <v>123</v>
      </c>
      <c r="K96" s="194">
        <v>46237</v>
      </c>
      <c r="L96" s="194">
        <v>46499</v>
      </c>
      <c r="M96" t="s">
        <v>94</v>
      </c>
      <c r="N96">
        <v>3237</v>
      </c>
      <c r="O96" s="188"/>
      <c r="P96" s="188"/>
      <c r="Q96" s="188"/>
      <c r="R96" s="188"/>
      <c r="S96" s="188"/>
      <c r="T96" s="188"/>
      <c r="U96" s="188"/>
      <c r="V96" s="188"/>
      <c r="W96" s="188"/>
      <c r="X96" s="188"/>
      <c r="Y96" s="188"/>
      <c r="Z96" s="188"/>
      <c r="AA96" s="188"/>
      <c r="AB96" s="188"/>
      <c r="AC96" s="188"/>
      <c r="AD96" s="188"/>
      <c r="AE96" s="188"/>
      <c r="AF96" s="188"/>
      <c r="AG96" s="188"/>
      <c r="AH96" s="188"/>
      <c r="AI96" s="188"/>
      <c r="AJ96" s="188"/>
      <c r="AK96" s="188"/>
      <c r="AL96" s="188"/>
      <c r="AM96" s="187"/>
      <c r="AN96" s="187"/>
      <c r="AO96" s="187"/>
      <c r="AP96" s="187"/>
      <c r="AQ96" s="187"/>
      <c r="AR96" s="187"/>
      <c r="AS96" s="187"/>
      <c r="AT96" s="187"/>
      <c r="AU96" s="187"/>
      <c r="AV96" s="187"/>
      <c r="AW96" s="187"/>
      <c r="AX96" s="187"/>
      <c r="AY96" s="187"/>
      <c r="AZ96" s="187"/>
      <c r="BA96" s="187"/>
      <c r="BB96" s="187"/>
      <c r="BC96" s="187"/>
      <c r="BD96" s="187"/>
      <c r="BE96" s="187"/>
      <c r="BF96" s="187"/>
      <c r="BG96" s="187"/>
      <c r="BH96" s="187"/>
      <c r="BI96" s="187"/>
      <c r="BJ96" s="187"/>
      <c r="BK96" s="187"/>
      <c r="BL96" s="187"/>
      <c r="BM96" s="187"/>
      <c r="BN96" s="187"/>
      <c r="BO96" s="187"/>
      <c r="BP96" s="187"/>
    </row>
    <row r="97" spans="1:68">
      <c r="A97" t="s">
        <v>369</v>
      </c>
      <c r="B97" t="s">
        <v>66</v>
      </c>
      <c r="C97" s="192">
        <v>1</v>
      </c>
      <c r="D97" s="192">
        <v>40</v>
      </c>
      <c r="E97" t="s">
        <v>30</v>
      </c>
      <c r="F97" t="s">
        <v>54</v>
      </c>
      <c r="G97" t="s">
        <v>37</v>
      </c>
      <c r="H97" t="s">
        <v>38</v>
      </c>
      <c r="I97" t="s">
        <v>189</v>
      </c>
      <c r="J97" t="s">
        <v>123</v>
      </c>
      <c r="K97" s="194">
        <v>46636</v>
      </c>
      <c r="L97" s="194">
        <v>46811</v>
      </c>
      <c r="M97" t="s">
        <v>99</v>
      </c>
      <c r="N97">
        <v>3151</v>
      </c>
      <c r="O97" s="188"/>
      <c r="P97" s="188"/>
      <c r="Q97" s="188"/>
      <c r="R97" s="188"/>
      <c r="S97" s="188"/>
      <c r="T97" s="188"/>
      <c r="U97" s="188"/>
      <c r="V97" s="188"/>
      <c r="W97" s="188"/>
      <c r="X97" s="188"/>
      <c r="Y97" s="188"/>
      <c r="Z97" s="188"/>
      <c r="AA97" s="188"/>
      <c r="AB97" s="188"/>
      <c r="AC97" s="188"/>
      <c r="AD97" s="188"/>
      <c r="AE97" s="188"/>
      <c r="AF97" s="188"/>
      <c r="AG97" s="188"/>
      <c r="AH97" s="188"/>
      <c r="AI97" s="188"/>
      <c r="AJ97" s="188"/>
      <c r="AK97" s="188"/>
      <c r="AL97" s="188"/>
      <c r="AM97" s="187"/>
      <c r="AN97" s="187"/>
      <c r="AO97" s="187"/>
      <c r="AP97" s="187"/>
      <c r="AQ97" s="187"/>
      <c r="AR97" s="187"/>
      <c r="AS97" s="187"/>
      <c r="AT97" s="187"/>
      <c r="AU97" s="187"/>
      <c r="AV97" s="187"/>
      <c r="AW97" s="187"/>
      <c r="AX97" s="187"/>
      <c r="AY97" s="187"/>
      <c r="AZ97" s="187"/>
      <c r="BA97" s="187"/>
      <c r="BB97" s="187"/>
      <c r="BC97" s="187"/>
      <c r="BD97" s="187"/>
      <c r="BE97" s="187"/>
      <c r="BF97" s="187"/>
      <c r="BG97" s="187"/>
      <c r="BH97" s="187"/>
      <c r="BI97" s="187"/>
      <c r="BJ97" s="187"/>
      <c r="BK97" s="187"/>
      <c r="BL97" s="187"/>
      <c r="BM97" s="187"/>
      <c r="BN97" s="187"/>
      <c r="BO97" s="187"/>
      <c r="BP97" s="187"/>
    </row>
    <row r="98" spans="1:68">
      <c r="A98" t="s">
        <v>371</v>
      </c>
      <c r="B98" t="s">
        <v>65</v>
      </c>
      <c r="C98" s="192">
        <v>1</v>
      </c>
      <c r="D98" s="192">
        <v>6</v>
      </c>
      <c r="E98" t="s">
        <v>30</v>
      </c>
      <c r="F98" t="s">
        <v>54</v>
      </c>
      <c r="G98" t="s">
        <v>37</v>
      </c>
      <c r="H98" t="s">
        <v>38</v>
      </c>
      <c r="I98" t="s">
        <v>280</v>
      </c>
      <c r="J98" t="s">
        <v>153</v>
      </c>
      <c r="K98" s="194">
        <v>46237</v>
      </c>
      <c r="L98" s="194">
        <v>46414</v>
      </c>
      <c r="M98" t="s">
        <v>89</v>
      </c>
      <c r="N98" t="s">
        <v>116</v>
      </c>
      <c r="O98" s="188"/>
      <c r="P98" s="188"/>
      <c r="Q98" s="188"/>
      <c r="R98" s="188"/>
      <c r="S98" s="188"/>
      <c r="T98" s="188"/>
      <c r="U98" s="188"/>
      <c r="V98" s="188"/>
      <c r="W98" s="188"/>
      <c r="X98" s="188"/>
      <c r="Y98" s="188"/>
      <c r="Z98" s="188"/>
      <c r="AA98" s="188"/>
      <c r="AB98" s="188"/>
      <c r="AC98" s="188"/>
      <c r="AD98" s="188"/>
      <c r="AE98" s="188"/>
      <c r="AF98" s="188"/>
      <c r="AG98" s="188"/>
      <c r="AH98" s="188"/>
      <c r="AI98" s="188"/>
      <c r="AJ98" s="188"/>
      <c r="AK98" s="188"/>
      <c r="AL98" s="188"/>
      <c r="AM98" s="187"/>
      <c r="AN98" s="187"/>
      <c r="AO98" s="187"/>
      <c r="AP98" s="187"/>
      <c r="AQ98" s="187"/>
      <c r="AR98" s="187"/>
      <c r="AS98" s="187"/>
      <c r="AT98" s="187"/>
      <c r="AU98" s="187"/>
      <c r="AV98" s="187"/>
      <c r="AW98" s="187"/>
      <c r="AX98" s="187"/>
      <c r="AY98" s="187"/>
      <c r="AZ98" s="187"/>
      <c r="BA98" s="187"/>
      <c r="BB98" s="187"/>
      <c r="BC98" s="187"/>
      <c r="BD98" s="187"/>
      <c r="BE98" s="187"/>
      <c r="BF98" s="187"/>
      <c r="BG98" s="187"/>
      <c r="BH98" s="187"/>
      <c r="BI98" s="187"/>
      <c r="BJ98" s="187"/>
      <c r="BK98" s="187"/>
      <c r="BL98" s="187"/>
      <c r="BM98" s="187"/>
      <c r="BN98" s="187"/>
      <c r="BO98" s="187"/>
      <c r="BP98" s="187"/>
    </row>
    <row r="99" spans="1:68">
      <c r="A99" t="s">
        <v>374</v>
      </c>
      <c r="B99" t="s">
        <v>68</v>
      </c>
      <c r="C99" s="192">
        <v>1</v>
      </c>
      <c r="D99" s="192">
        <v>8</v>
      </c>
      <c r="E99" t="s">
        <v>76</v>
      </c>
      <c r="F99" t="s">
        <v>54</v>
      </c>
      <c r="G99" t="s">
        <v>37</v>
      </c>
      <c r="H99" t="s">
        <v>38</v>
      </c>
      <c r="I99" t="s">
        <v>375</v>
      </c>
      <c r="J99" t="s">
        <v>132</v>
      </c>
      <c r="K99" s="194">
        <v>46209</v>
      </c>
      <c r="L99" s="194">
        <v>46531</v>
      </c>
      <c r="M99" t="s">
        <v>95</v>
      </c>
      <c r="N99" t="s">
        <v>116</v>
      </c>
      <c r="O99" s="188"/>
      <c r="P99" s="188"/>
      <c r="Q99" s="188"/>
      <c r="R99" s="188"/>
      <c r="S99" s="188"/>
      <c r="T99" s="188"/>
      <c r="U99" s="188"/>
      <c r="V99" s="188"/>
      <c r="W99" s="188"/>
      <c r="X99" s="188"/>
      <c r="Y99" s="188"/>
      <c r="Z99" s="188"/>
      <c r="AA99" s="188"/>
      <c r="AB99" s="188"/>
      <c r="AC99" s="188"/>
      <c r="AD99" s="188"/>
      <c r="AE99" s="188"/>
      <c r="AF99" s="188"/>
      <c r="AG99" s="188"/>
      <c r="AH99" s="188"/>
      <c r="AI99" s="188"/>
      <c r="AJ99" s="188"/>
      <c r="AK99" s="188"/>
      <c r="AL99" s="188"/>
      <c r="AM99" s="187"/>
      <c r="AN99" s="187"/>
      <c r="AO99" s="187"/>
      <c r="AP99" s="187"/>
      <c r="AQ99" s="187"/>
      <c r="AR99" s="187"/>
      <c r="AS99" s="187"/>
      <c r="AT99" s="187"/>
      <c r="AU99" s="187"/>
      <c r="AV99" s="187"/>
      <c r="AW99" s="187"/>
      <c r="AX99" s="187"/>
      <c r="AY99" s="187"/>
      <c r="AZ99" s="187"/>
      <c r="BA99" s="187"/>
      <c r="BB99" s="187"/>
      <c r="BC99" s="187"/>
      <c r="BD99" s="187"/>
      <c r="BE99" s="187"/>
      <c r="BF99" s="187"/>
      <c r="BG99" s="187"/>
      <c r="BH99" s="187"/>
      <c r="BI99" s="187"/>
      <c r="BJ99" s="187"/>
      <c r="BK99" s="187"/>
      <c r="BL99" s="187"/>
      <c r="BM99" s="187"/>
      <c r="BN99" s="187"/>
      <c r="BO99" s="187"/>
      <c r="BP99" s="187"/>
    </row>
    <row r="100" spans="1:68">
      <c r="A100" t="s">
        <v>376</v>
      </c>
      <c r="B100" t="s">
        <v>67</v>
      </c>
      <c r="C100" s="192">
        <v>1</v>
      </c>
      <c r="D100" s="192">
        <v>4</v>
      </c>
      <c r="E100" t="s">
        <v>74</v>
      </c>
      <c r="F100" t="s">
        <v>54</v>
      </c>
      <c r="G100" t="s">
        <v>37</v>
      </c>
      <c r="H100" t="s">
        <v>38</v>
      </c>
      <c r="I100" t="s">
        <v>189</v>
      </c>
      <c r="J100" t="s">
        <v>153</v>
      </c>
      <c r="K100" s="194">
        <v>46329</v>
      </c>
      <c r="L100" s="194">
        <v>46440</v>
      </c>
      <c r="M100" t="s">
        <v>93</v>
      </c>
      <c r="N100">
        <v>3276</v>
      </c>
      <c r="O100" s="188"/>
      <c r="P100" s="188"/>
      <c r="Q100" s="188"/>
      <c r="R100" s="188"/>
      <c r="S100" s="188"/>
      <c r="T100" s="188"/>
      <c r="U100" s="188"/>
      <c r="V100" s="188"/>
      <c r="W100" s="188"/>
      <c r="X100" s="188"/>
      <c r="Y100" s="188"/>
      <c r="Z100" s="188"/>
      <c r="AA100" s="188"/>
      <c r="AB100" s="188"/>
      <c r="AC100" s="188"/>
      <c r="AD100" s="188"/>
      <c r="AE100" s="188"/>
      <c r="AF100" s="188"/>
      <c r="AG100" s="188"/>
      <c r="AH100" s="188"/>
      <c r="AI100" s="188"/>
      <c r="AJ100" s="188"/>
      <c r="AK100" s="188"/>
      <c r="AL100" s="188"/>
      <c r="AM100" s="187"/>
      <c r="AN100" s="187"/>
      <c r="AO100" s="187"/>
      <c r="AP100" s="187"/>
      <c r="AQ100" s="187"/>
      <c r="AR100" s="187"/>
      <c r="AS100" s="187"/>
      <c r="AT100" s="187"/>
      <c r="AU100" s="187"/>
      <c r="AV100" s="187"/>
      <c r="AW100" s="187"/>
      <c r="AX100" s="187"/>
      <c r="AY100" s="187"/>
      <c r="AZ100" s="187"/>
      <c r="BA100" s="187"/>
      <c r="BB100" s="187"/>
      <c r="BC100" s="187"/>
      <c r="BD100" s="187"/>
      <c r="BE100" s="187"/>
      <c r="BF100" s="187"/>
      <c r="BG100" s="187"/>
      <c r="BH100" s="187"/>
      <c r="BI100" s="187"/>
      <c r="BJ100" s="187"/>
      <c r="BK100" s="187"/>
      <c r="BL100" s="187"/>
      <c r="BM100" s="187"/>
      <c r="BN100" s="187"/>
      <c r="BO100" s="187"/>
      <c r="BP100" s="187"/>
    </row>
    <row r="101" spans="1:68">
      <c r="A101" t="s">
        <v>380</v>
      </c>
      <c r="B101" t="s">
        <v>31</v>
      </c>
      <c r="C101" s="192">
        <v>1</v>
      </c>
      <c r="D101" s="192">
        <v>2</v>
      </c>
      <c r="E101" t="s">
        <v>30</v>
      </c>
      <c r="F101" t="s">
        <v>63</v>
      </c>
      <c r="G101" t="s">
        <v>37</v>
      </c>
      <c r="H101" t="s">
        <v>55</v>
      </c>
      <c r="I101" t="s">
        <v>56</v>
      </c>
      <c r="J101" t="s">
        <v>40</v>
      </c>
      <c r="K101" s="194">
        <v>46204</v>
      </c>
      <c r="L101" s="194">
        <v>46385</v>
      </c>
      <c r="M101" t="s">
        <v>87</v>
      </c>
      <c r="N101" t="s">
        <v>116</v>
      </c>
      <c r="O101" s="188"/>
      <c r="P101" s="188"/>
      <c r="Q101" s="188"/>
      <c r="R101" s="188"/>
      <c r="S101" s="188"/>
      <c r="T101" s="188"/>
      <c r="U101" s="188"/>
      <c r="V101" s="188"/>
      <c r="W101" s="188"/>
      <c r="X101" s="188"/>
      <c r="Y101" s="188"/>
      <c r="Z101" s="188"/>
      <c r="AA101" s="188"/>
      <c r="AB101" s="188"/>
      <c r="AC101" s="188"/>
      <c r="AD101" s="188"/>
      <c r="AE101" s="188"/>
      <c r="AF101" s="188"/>
      <c r="AG101" s="188"/>
      <c r="AH101" s="188"/>
      <c r="AI101" s="188"/>
      <c r="AJ101" s="188"/>
      <c r="AK101" s="188"/>
      <c r="AL101" s="188"/>
      <c r="AM101" s="187"/>
      <c r="AN101" s="187"/>
      <c r="AO101" s="187"/>
      <c r="AP101" s="187"/>
      <c r="AQ101" s="187"/>
      <c r="AR101" s="187"/>
      <c r="AS101" s="187"/>
      <c r="AT101" s="187"/>
      <c r="AU101" s="187"/>
      <c r="AV101" s="187"/>
      <c r="AW101" s="187"/>
      <c r="AX101" s="187"/>
      <c r="AY101" s="187"/>
      <c r="AZ101" s="187"/>
      <c r="BA101" s="187"/>
      <c r="BB101" s="187"/>
      <c r="BC101" s="187"/>
      <c r="BD101" s="187"/>
      <c r="BE101" s="187"/>
      <c r="BF101" s="187"/>
      <c r="BG101" s="187"/>
      <c r="BH101" s="187"/>
      <c r="BI101" s="187"/>
      <c r="BJ101" s="187"/>
      <c r="BK101" s="187"/>
      <c r="BL101" s="187"/>
      <c r="BM101" s="187"/>
      <c r="BN101" s="187"/>
      <c r="BO101" s="187"/>
      <c r="BP101" s="187"/>
    </row>
    <row r="102" spans="1:68">
      <c r="A102" t="s">
        <v>381</v>
      </c>
      <c r="B102" t="s">
        <v>31</v>
      </c>
      <c r="C102" s="192">
        <v>1</v>
      </c>
      <c r="D102" s="192">
        <v>1</v>
      </c>
      <c r="E102" t="s">
        <v>74</v>
      </c>
      <c r="F102" t="s">
        <v>54</v>
      </c>
      <c r="G102" t="s">
        <v>37</v>
      </c>
      <c r="H102" t="s">
        <v>38</v>
      </c>
      <c r="I102" t="s">
        <v>383</v>
      </c>
      <c r="J102" t="s">
        <v>40</v>
      </c>
      <c r="K102" s="194">
        <v>46167</v>
      </c>
      <c r="L102" s="194">
        <v>46279</v>
      </c>
      <c r="M102" t="s">
        <v>88</v>
      </c>
      <c r="N102">
        <v>3368</v>
      </c>
      <c r="O102" s="188"/>
      <c r="P102" s="188"/>
      <c r="Q102" s="188"/>
      <c r="R102" s="188"/>
      <c r="S102" s="188"/>
      <c r="T102" s="188"/>
      <c r="U102" s="188"/>
      <c r="V102" s="188"/>
      <c r="W102" s="188"/>
      <c r="X102" s="188"/>
      <c r="Y102" s="188"/>
      <c r="Z102" s="188"/>
      <c r="AA102" s="188"/>
      <c r="AB102" s="188"/>
      <c r="AC102" s="188"/>
      <c r="AD102" s="188"/>
      <c r="AE102" s="188"/>
      <c r="AF102" s="188"/>
      <c r="AG102" s="188"/>
      <c r="AH102" s="188"/>
      <c r="AI102" s="188"/>
      <c r="AJ102" s="188"/>
      <c r="AK102" s="188"/>
      <c r="AL102" s="188"/>
      <c r="AM102" s="187"/>
      <c r="AN102" s="187"/>
      <c r="AO102" s="187"/>
      <c r="AP102" s="187"/>
      <c r="AQ102" s="187"/>
      <c r="AR102" s="187"/>
      <c r="AS102" s="187"/>
      <c r="AT102" s="187"/>
      <c r="AU102" s="187"/>
      <c r="AV102" s="187"/>
      <c r="AW102" s="187"/>
      <c r="AX102" s="187"/>
      <c r="AY102" s="187"/>
      <c r="AZ102" s="187"/>
      <c r="BA102" s="187"/>
      <c r="BB102" s="187"/>
      <c r="BC102" s="187"/>
      <c r="BD102" s="187"/>
      <c r="BE102" s="187"/>
      <c r="BF102" s="187"/>
      <c r="BG102" s="187"/>
      <c r="BH102" s="187"/>
      <c r="BI102" s="187"/>
      <c r="BJ102" s="187"/>
      <c r="BK102" s="187"/>
      <c r="BL102" s="187"/>
      <c r="BM102" s="187"/>
      <c r="BN102" s="187"/>
      <c r="BO102" s="187"/>
      <c r="BP102" s="187"/>
    </row>
    <row r="103" spans="1:68">
      <c r="A103" t="s">
        <v>384</v>
      </c>
      <c r="B103" t="s">
        <v>72</v>
      </c>
      <c r="C103" s="192">
        <v>1</v>
      </c>
      <c r="D103" s="192">
        <v>1</v>
      </c>
      <c r="E103" t="s">
        <v>30</v>
      </c>
      <c r="F103" t="s">
        <v>63</v>
      </c>
      <c r="G103" t="s">
        <v>37</v>
      </c>
      <c r="H103" t="s">
        <v>151</v>
      </c>
      <c r="I103" t="s">
        <v>152</v>
      </c>
      <c r="J103" t="s">
        <v>167</v>
      </c>
      <c r="K103" s="194">
        <v>46235</v>
      </c>
      <c r="L103" s="194">
        <v>46413</v>
      </c>
      <c r="M103" t="s">
        <v>89</v>
      </c>
      <c r="N103" t="s">
        <v>116</v>
      </c>
      <c r="O103" s="188"/>
      <c r="P103" s="188"/>
      <c r="Q103" s="188"/>
      <c r="R103" s="188"/>
      <c r="S103" s="188"/>
      <c r="T103" s="188"/>
      <c r="U103" s="188"/>
      <c r="V103" s="188"/>
      <c r="W103" s="188"/>
      <c r="X103" s="188"/>
      <c r="Y103" s="188"/>
      <c r="Z103" s="188"/>
      <c r="AA103" s="188"/>
      <c r="AB103" s="188"/>
      <c r="AC103" s="188"/>
      <c r="AD103" s="188"/>
      <c r="AE103" s="188"/>
      <c r="AF103" s="188"/>
      <c r="AG103" s="188"/>
      <c r="AH103" s="188"/>
      <c r="AI103" s="188"/>
      <c r="AJ103" s="188"/>
      <c r="AK103" s="188"/>
      <c r="AL103" s="188"/>
      <c r="AM103" s="187"/>
      <c r="AN103" s="187"/>
      <c r="AO103" s="187"/>
      <c r="AP103" s="187"/>
      <c r="AQ103" s="187"/>
      <c r="AR103" s="187"/>
      <c r="AS103" s="187"/>
      <c r="AT103" s="187"/>
      <c r="AU103" s="187"/>
      <c r="AV103" s="187"/>
      <c r="AW103" s="187"/>
      <c r="AX103" s="187"/>
      <c r="AY103" s="187"/>
      <c r="AZ103" s="187"/>
      <c r="BA103" s="187"/>
      <c r="BB103" s="187"/>
      <c r="BC103" s="187"/>
      <c r="BD103" s="187"/>
      <c r="BE103" s="187"/>
      <c r="BF103" s="187"/>
      <c r="BG103" s="187"/>
      <c r="BH103" s="187"/>
      <c r="BI103" s="187"/>
      <c r="BJ103" s="187"/>
      <c r="BK103" s="187"/>
      <c r="BL103" s="187"/>
      <c r="BM103" s="187"/>
      <c r="BN103" s="187"/>
      <c r="BO103" s="187"/>
      <c r="BP103" s="187"/>
    </row>
    <row r="104" spans="1:68">
      <c r="A104" t="s">
        <v>386</v>
      </c>
      <c r="B104" t="s">
        <v>31</v>
      </c>
      <c r="C104" s="192">
        <v>1</v>
      </c>
      <c r="D104" s="192">
        <v>8</v>
      </c>
      <c r="E104" t="s">
        <v>47</v>
      </c>
      <c r="F104" t="s">
        <v>49</v>
      </c>
      <c r="G104" t="s">
        <v>37</v>
      </c>
      <c r="H104" t="s">
        <v>38</v>
      </c>
      <c r="I104" t="s">
        <v>50</v>
      </c>
      <c r="J104" t="s">
        <v>40</v>
      </c>
      <c r="K104" s="194">
        <v>46266</v>
      </c>
      <c r="L104" s="194">
        <v>46527</v>
      </c>
      <c r="M104" t="s">
        <v>95</v>
      </c>
      <c r="N104">
        <v>3337</v>
      </c>
      <c r="O104" s="188"/>
      <c r="P104" s="188"/>
      <c r="Q104" s="188"/>
      <c r="R104" s="188"/>
      <c r="S104" s="188"/>
      <c r="T104" s="188"/>
      <c r="U104" s="188"/>
      <c r="V104" s="188"/>
      <c r="W104" s="188"/>
      <c r="X104" s="188"/>
      <c r="Y104" s="188"/>
      <c r="Z104" s="188"/>
      <c r="AA104" s="188"/>
      <c r="AB104" s="188"/>
      <c r="AC104" s="188"/>
      <c r="AD104" s="188"/>
      <c r="AE104" s="188"/>
      <c r="AF104" s="188"/>
      <c r="AG104" s="188"/>
      <c r="AH104" s="188"/>
      <c r="AI104" s="188"/>
      <c r="AJ104" s="188"/>
      <c r="AK104" s="188"/>
      <c r="AL104" s="188"/>
      <c r="AM104" s="187"/>
      <c r="AN104" s="187"/>
      <c r="AO104" s="187"/>
      <c r="AP104" s="187"/>
      <c r="AQ104" s="187"/>
      <c r="AR104" s="187"/>
      <c r="AS104" s="187"/>
      <c r="AT104" s="187"/>
      <c r="AU104" s="187"/>
      <c r="AV104" s="187"/>
      <c r="AW104" s="187"/>
      <c r="AX104" s="187"/>
      <c r="AY104" s="187"/>
      <c r="AZ104" s="187"/>
      <c r="BA104" s="187"/>
      <c r="BB104" s="187"/>
      <c r="BC104" s="187"/>
      <c r="BD104" s="187"/>
      <c r="BE104" s="187"/>
      <c r="BF104" s="187"/>
      <c r="BG104" s="187"/>
      <c r="BH104" s="187"/>
      <c r="BI104" s="187"/>
      <c r="BJ104" s="187"/>
      <c r="BK104" s="187"/>
      <c r="BL104" s="187"/>
      <c r="BM104" s="187"/>
      <c r="BN104" s="187"/>
      <c r="BO104" s="187"/>
      <c r="BP104" s="187"/>
    </row>
    <row r="105" spans="1:68">
      <c r="A105" t="s">
        <v>387</v>
      </c>
      <c r="B105" t="s">
        <v>68</v>
      </c>
      <c r="C105" s="192">
        <v>1</v>
      </c>
      <c r="D105" s="192">
        <v>17</v>
      </c>
      <c r="E105" t="s">
        <v>30</v>
      </c>
      <c r="F105" t="s">
        <v>63</v>
      </c>
      <c r="G105" t="s">
        <v>37</v>
      </c>
      <c r="H105" t="s">
        <v>38</v>
      </c>
      <c r="I105" t="s">
        <v>131</v>
      </c>
      <c r="J105" t="s">
        <v>132</v>
      </c>
      <c r="K105" s="194">
        <v>46328</v>
      </c>
      <c r="L105" s="194">
        <v>46505</v>
      </c>
      <c r="M105" t="s">
        <v>94</v>
      </c>
      <c r="N105" t="s">
        <v>116</v>
      </c>
      <c r="O105" s="188"/>
      <c r="P105" s="188"/>
      <c r="Q105" s="188"/>
      <c r="R105" s="188"/>
      <c r="S105" s="188"/>
      <c r="T105" s="188"/>
      <c r="U105" s="188"/>
      <c r="V105" s="188"/>
      <c r="W105" s="188"/>
      <c r="X105" s="188"/>
      <c r="Y105" s="188"/>
      <c r="Z105" s="188"/>
      <c r="AA105" s="188"/>
      <c r="AB105" s="188"/>
      <c r="AC105" s="188"/>
      <c r="AD105" s="188"/>
      <c r="AE105" s="188"/>
      <c r="AF105" s="188"/>
      <c r="AG105" s="188"/>
      <c r="AH105" s="188"/>
      <c r="AI105" s="188"/>
      <c r="AJ105" s="188"/>
      <c r="AK105" s="188"/>
      <c r="AL105" s="188"/>
      <c r="AM105" s="187"/>
      <c r="AN105" s="187"/>
      <c r="AO105" s="187"/>
      <c r="AP105" s="187"/>
      <c r="AQ105" s="187"/>
      <c r="AR105" s="187"/>
      <c r="AS105" s="187"/>
      <c r="AT105" s="187"/>
      <c r="AU105" s="187"/>
      <c r="AV105" s="187"/>
      <c r="AW105" s="187"/>
      <c r="AX105" s="187"/>
      <c r="AY105" s="187"/>
      <c r="AZ105" s="187"/>
      <c r="BA105" s="187"/>
      <c r="BB105" s="187"/>
      <c r="BC105" s="187"/>
      <c r="BD105" s="187"/>
      <c r="BE105" s="187"/>
      <c r="BF105" s="187"/>
      <c r="BG105" s="187"/>
      <c r="BH105" s="187"/>
      <c r="BI105" s="187"/>
      <c r="BJ105" s="187"/>
      <c r="BK105" s="187"/>
      <c r="BL105" s="187"/>
      <c r="BM105" s="187"/>
      <c r="BN105" s="187"/>
      <c r="BO105" s="187"/>
      <c r="BP105" s="187"/>
    </row>
    <row r="106" spans="1:68">
      <c r="A106" t="s">
        <v>388</v>
      </c>
      <c r="B106" t="s">
        <v>31</v>
      </c>
      <c r="C106" s="192">
        <v>1</v>
      </c>
      <c r="D106" s="192">
        <v>10</v>
      </c>
      <c r="E106" t="s">
        <v>47</v>
      </c>
      <c r="F106" t="s">
        <v>49</v>
      </c>
      <c r="G106" t="s">
        <v>37</v>
      </c>
      <c r="H106" t="s">
        <v>38</v>
      </c>
      <c r="I106" t="s">
        <v>50</v>
      </c>
      <c r="J106" t="s">
        <v>40</v>
      </c>
      <c r="K106" s="194">
        <v>46296</v>
      </c>
      <c r="L106" s="194">
        <v>46560</v>
      </c>
      <c r="M106" t="s">
        <v>96</v>
      </c>
      <c r="N106">
        <v>3344</v>
      </c>
      <c r="O106" s="188"/>
      <c r="P106" s="188"/>
      <c r="Q106" s="188"/>
      <c r="R106" s="188"/>
      <c r="S106" s="188"/>
      <c r="T106" s="188"/>
      <c r="U106" s="188"/>
      <c r="V106" s="188"/>
      <c r="W106" s="188"/>
      <c r="X106" s="188"/>
      <c r="Y106" s="188"/>
      <c r="Z106" s="188"/>
      <c r="AA106" s="188"/>
      <c r="AB106" s="188"/>
      <c r="AC106" s="188"/>
      <c r="AD106" s="188"/>
      <c r="AE106" s="188"/>
      <c r="AF106" s="188"/>
      <c r="AG106" s="188"/>
      <c r="AH106" s="188"/>
      <c r="AI106" s="188"/>
      <c r="AJ106" s="188"/>
      <c r="AK106" s="188"/>
      <c r="AL106" s="188"/>
      <c r="AM106" s="187"/>
      <c r="AN106" s="187"/>
      <c r="AO106" s="187"/>
      <c r="AP106" s="187"/>
      <c r="AQ106" s="187"/>
      <c r="AR106" s="187"/>
      <c r="AS106" s="187"/>
      <c r="AT106" s="187"/>
      <c r="AU106" s="187"/>
      <c r="AV106" s="187"/>
      <c r="AW106" s="187"/>
      <c r="AX106" s="187"/>
      <c r="AY106" s="187"/>
      <c r="AZ106" s="187"/>
      <c r="BA106" s="187"/>
      <c r="BB106" s="187"/>
      <c r="BC106" s="187"/>
      <c r="BD106" s="187"/>
      <c r="BE106" s="187"/>
      <c r="BF106" s="187"/>
      <c r="BG106" s="187"/>
      <c r="BH106" s="187"/>
      <c r="BI106" s="187"/>
      <c r="BJ106" s="187"/>
      <c r="BK106" s="187"/>
      <c r="BL106" s="187"/>
      <c r="BM106" s="187"/>
      <c r="BN106" s="187"/>
      <c r="BO106" s="187"/>
      <c r="BP106" s="187"/>
    </row>
    <row r="107" spans="1:68">
      <c r="A107" t="s">
        <v>389</v>
      </c>
      <c r="B107" t="s">
        <v>31</v>
      </c>
      <c r="C107" s="192">
        <v>1</v>
      </c>
      <c r="D107" s="192">
        <v>1</v>
      </c>
      <c r="E107" t="s">
        <v>30</v>
      </c>
      <c r="F107" t="s">
        <v>49</v>
      </c>
      <c r="G107" t="s">
        <v>37</v>
      </c>
      <c r="H107" t="s">
        <v>38</v>
      </c>
      <c r="I107" t="s">
        <v>50</v>
      </c>
      <c r="J107" t="s">
        <v>40</v>
      </c>
      <c r="K107" s="194">
        <v>46238</v>
      </c>
      <c r="L107" s="194">
        <v>46415</v>
      </c>
      <c r="M107" t="s">
        <v>89</v>
      </c>
      <c r="N107">
        <v>3184</v>
      </c>
      <c r="O107" s="188"/>
      <c r="P107" s="188"/>
      <c r="Q107" s="188"/>
      <c r="R107" s="188"/>
      <c r="S107" s="188"/>
      <c r="T107" s="188"/>
      <c r="U107" s="188"/>
      <c r="V107" s="188"/>
      <c r="W107" s="188"/>
      <c r="X107" s="188"/>
      <c r="Y107" s="188"/>
      <c r="Z107" s="188"/>
      <c r="AA107" s="188"/>
      <c r="AB107" s="188"/>
      <c r="AC107" s="188"/>
      <c r="AD107" s="188"/>
      <c r="AE107" s="188"/>
      <c r="AF107" s="188"/>
      <c r="AG107" s="188"/>
      <c r="AH107" s="188"/>
      <c r="AI107" s="188"/>
      <c r="AJ107" s="188"/>
      <c r="AK107" s="188"/>
      <c r="AL107" s="188"/>
      <c r="AM107" s="187"/>
      <c r="AN107" s="187"/>
      <c r="AO107" s="187"/>
      <c r="AP107" s="187"/>
      <c r="AQ107" s="187"/>
      <c r="AR107" s="187"/>
      <c r="AS107" s="187"/>
      <c r="AT107" s="187"/>
      <c r="AU107" s="187"/>
      <c r="AV107" s="187"/>
      <c r="AW107" s="187"/>
      <c r="AX107" s="187"/>
      <c r="AY107" s="187"/>
      <c r="AZ107" s="187"/>
      <c r="BA107" s="187"/>
      <c r="BB107" s="187"/>
      <c r="BC107" s="187"/>
      <c r="BD107" s="187"/>
      <c r="BE107" s="187"/>
      <c r="BF107" s="187"/>
      <c r="BG107" s="187"/>
      <c r="BH107" s="187"/>
      <c r="BI107" s="187"/>
      <c r="BJ107" s="187"/>
      <c r="BK107" s="187"/>
      <c r="BL107" s="187"/>
      <c r="BM107" s="187"/>
      <c r="BN107" s="187"/>
      <c r="BO107" s="187"/>
      <c r="BP107" s="187"/>
    </row>
    <row r="108" spans="1:68">
      <c r="A108" t="s">
        <v>392</v>
      </c>
      <c r="B108" t="s">
        <v>31</v>
      </c>
      <c r="C108" s="192">
        <v>1</v>
      </c>
      <c r="D108" s="192" t="s">
        <v>52</v>
      </c>
      <c r="E108" t="s">
        <v>75</v>
      </c>
      <c r="F108" t="s">
        <v>54</v>
      </c>
      <c r="G108" t="s">
        <v>80</v>
      </c>
      <c r="H108" t="s">
        <v>38</v>
      </c>
      <c r="I108"/>
      <c r="J108" t="s">
        <v>40</v>
      </c>
      <c r="K108" s="194"/>
      <c r="L108" s="194"/>
      <c r="M108" t="s">
        <v>84</v>
      </c>
      <c r="N108" t="s">
        <v>116</v>
      </c>
      <c r="O108" s="188"/>
      <c r="P108" s="188"/>
      <c r="Q108" s="188"/>
      <c r="R108" s="188"/>
      <c r="S108" s="188"/>
      <c r="T108" s="188"/>
      <c r="U108" s="188"/>
      <c r="V108" s="188"/>
      <c r="W108" s="188"/>
      <c r="X108" s="188"/>
      <c r="Y108" s="188"/>
      <c r="Z108" s="188"/>
      <c r="AA108" s="188"/>
      <c r="AB108" s="188"/>
      <c r="AC108" s="188"/>
      <c r="AD108" s="188"/>
      <c r="AE108" s="188"/>
      <c r="AF108" s="188"/>
      <c r="AG108" s="188"/>
      <c r="AH108" s="188"/>
      <c r="AI108" s="188"/>
      <c r="AJ108" s="188"/>
      <c r="AK108" s="188"/>
      <c r="AL108" s="188"/>
      <c r="AM108" s="187"/>
      <c r="AN108" s="187"/>
      <c r="AO108" s="187"/>
      <c r="AP108" s="187"/>
      <c r="AQ108" s="187"/>
      <c r="AR108" s="187"/>
      <c r="AS108" s="187"/>
      <c r="AT108" s="187"/>
      <c r="AU108" s="187"/>
      <c r="AV108" s="187"/>
      <c r="AW108" s="187"/>
      <c r="AX108" s="187"/>
      <c r="AY108" s="187"/>
      <c r="AZ108" s="187"/>
      <c r="BA108" s="187"/>
      <c r="BB108" s="187"/>
      <c r="BC108" s="187"/>
      <c r="BD108" s="187"/>
      <c r="BE108" s="187"/>
      <c r="BF108" s="187"/>
      <c r="BG108" s="187"/>
      <c r="BH108" s="187"/>
      <c r="BI108" s="187"/>
      <c r="BJ108" s="187"/>
      <c r="BK108" s="187"/>
      <c r="BL108" s="187"/>
      <c r="BM108" s="187"/>
      <c r="BN108" s="187"/>
      <c r="BO108" s="187"/>
      <c r="BP108" s="187"/>
    </row>
    <row r="109" spans="1:68">
      <c r="A109" t="s">
        <v>394</v>
      </c>
      <c r="B109" t="s">
        <v>70</v>
      </c>
      <c r="C109" s="192">
        <v>1</v>
      </c>
      <c r="D109" s="192">
        <v>2</v>
      </c>
      <c r="E109" t="s">
        <v>47</v>
      </c>
      <c r="F109" t="s">
        <v>36</v>
      </c>
      <c r="G109" t="s">
        <v>37</v>
      </c>
      <c r="H109" t="s">
        <v>38</v>
      </c>
      <c r="I109" t="s">
        <v>166</v>
      </c>
      <c r="J109" t="s">
        <v>167</v>
      </c>
      <c r="K109" s="194">
        <v>46272</v>
      </c>
      <c r="L109" s="194">
        <v>46533</v>
      </c>
      <c r="M109" t="s">
        <v>95</v>
      </c>
      <c r="N109" t="s">
        <v>116</v>
      </c>
      <c r="O109" s="188"/>
      <c r="P109" s="188"/>
      <c r="Q109" s="188"/>
      <c r="R109" s="188"/>
      <c r="S109" s="188"/>
      <c r="T109" s="188"/>
      <c r="U109" s="188"/>
      <c r="V109" s="188"/>
      <c r="W109" s="188"/>
      <c r="X109" s="188"/>
      <c r="Y109" s="188"/>
      <c r="Z109" s="188"/>
      <c r="AA109" s="188"/>
      <c r="AB109" s="188"/>
      <c r="AC109" s="188"/>
      <c r="AD109" s="188"/>
      <c r="AE109" s="188"/>
      <c r="AF109" s="188"/>
      <c r="AG109" s="188"/>
      <c r="AH109" s="188"/>
      <c r="AI109" s="188"/>
      <c r="AJ109" s="188"/>
      <c r="AK109" s="188"/>
      <c r="AL109" s="188"/>
      <c r="AM109" s="187"/>
      <c r="AN109" s="187"/>
      <c r="AO109" s="187"/>
      <c r="AP109" s="187"/>
      <c r="AQ109" s="187"/>
      <c r="AR109" s="187"/>
      <c r="AS109" s="187"/>
      <c r="AT109" s="187"/>
      <c r="AU109" s="187"/>
      <c r="AV109" s="187"/>
      <c r="AW109" s="187"/>
      <c r="AX109" s="187"/>
      <c r="AY109" s="187"/>
      <c r="AZ109" s="187"/>
      <c r="BA109" s="187"/>
      <c r="BB109" s="187"/>
      <c r="BC109" s="187"/>
      <c r="BD109" s="187"/>
      <c r="BE109" s="187"/>
      <c r="BF109" s="187"/>
      <c r="BG109" s="187"/>
      <c r="BH109" s="187"/>
      <c r="BI109" s="187"/>
      <c r="BJ109" s="187"/>
      <c r="BK109" s="187"/>
      <c r="BL109" s="187"/>
      <c r="BM109" s="187"/>
      <c r="BN109" s="187"/>
      <c r="BO109" s="187"/>
      <c r="BP109" s="187"/>
    </row>
    <row r="110" spans="1:68">
      <c r="A110" t="s">
        <v>397</v>
      </c>
      <c r="B110" t="s">
        <v>70</v>
      </c>
      <c r="C110" s="192">
        <v>1</v>
      </c>
      <c r="D110" s="192">
        <v>4</v>
      </c>
      <c r="E110" t="s">
        <v>77</v>
      </c>
      <c r="F110" t="s">
        <v>63</v>
      </c>
      <c r="G110" t="s">
        <v>37</v>
      </c>
      <c r="H110" t="s">
        <v>151</v>
      </c>
      <c r="I110" t="s">
        <v>262</v>
      </c>
      <c r="J110" t="s">
        <v>167</v>
      </c>
      <c r="K110" s="194">
        <v>46327</v>
      </c>
      <c r="L110" s="194">
        <v>46682</v>
      </c>
      <c r="M110" t="s">
        <v>90</v>
      </c>
      <c r="N110" t="s">
        <v>116</v>
      </c>
      <c r="O110" s="188"/>
      <c r="P110" s="188"/>
      <c r="Q110" s="188"/>
      <c r="R110" s="188"/>
      <c r="S110" s="188"/>
      <c r="T110" s="188"/>
      <c r="U110" s="188"/>
      <c r="V110" s="188"/>
      <c r="W110" s="188"/>
      <c r="X110" s="188"/>
      <c r="Y110" s="188"/>
      <c r="Z110" s="188"/>
      <c r="AA110" s="188"/>
      <c r="AB110" s="188"/>
      <c r="AC110" s="188"/>
      <c r="AD110" s="188"/>
      <c r="AE110" s="188"/>
      <c r="AF110" s="188"/>
      <c r="AG110" s="188"/>
      <c r="AH110" s="188"/>
      <c r="AI110" s="188"/>
      <c r="AJ110" s="188"/>
      <c r="AK110" s="188"/>
      <c r="AL110" s="188"/>
      <c r="AM110" s="187"/>
      <c r="AN110" s="187"/>
      <c r="AO110" s="187"/>
      <c r="AP110" s="187"/>
      <c r="AQ110" s="187"/>
      <c r="AR110" s="187"/>
      <c r="AS110" s="187"/>
      <c r="AT110" s="187"/>
      <c r="AU110" s="187"/>
      <c r="AV110" s="187"/>
      <c r="AW110" s="187"/>
      <c r="AX110" s="187"/>
      <c r="AY110" s="187"/>
      <c r="AZ110" s="187"/>
      <c r="BA110" s="187"/>
      <c r="BB110" s="187"/>
      <c r="BC110" s="187"/>
      <c r="BD110" s="187"/>
      <c r="BE110" s="187"/>
      <c r="BF110" s="187"/>
      <c r="BG110" s="187"/>
      <c r="BH110" s="187"/>
      <c r="BI110" s="187"/>
      <c r="BJ110" s="187"/>
      <c r="BK110" s="187"/>
      <c r="BL110" s="187"/>
      <c r="BM110" s="187"/>
      <c r="BN110" s="187"/>
      <c r="BO110" s="187"/>
      <c r="BP110" s="187"/>
    </row>
    <row r="111" spans="1:68">
      <c r="A111" t="s">
        <v>400</v>
      </c>
      <c r="B111" t="s">
        <v>66</v>
      </c>
      <c r="C111" s="192">
        <v>1</v>
      </c>
      <c r="D111" s="192">
        <v>11</v>
      </c>
      <c r="E111" t="s">
        <v>76</v>
      </c>
      <c r="F111" t="s">
        <v>36</v>
      </c>
      <c r="G111" t="s">
        <v>37</v>
      </c>
      <c r="H111" t="s">
        <v>38</v>
      </c>
      <c r="I111" t="s">
        <v>402</v>
      </c>
      <c r="J111" t="s">
        <v>123</v>
      </c>
      <c r="K111" s="194">
        <v>46251</v>
      </c>
      <c r="L111" s="194">
        <v>46568</v>
      </c>
      <c r="M111" t="s">
        <v>96</v>
      </c>
      <c r="N111">
        <v>3233</v>
      </c>
      <c r="O111" s="188"/>
      <c r="P111" s="188"/>
      <c r="Q111" s="188"/>
      <c r="R111" s="188"/>
      <c r="S111" s="188"/>
      <c r="T111" s="188"/>
      <c r="U111" s="188"/>
      <c r="V111" s="188"/>
      <c r="W111" s="188"/>
      <c r="X111" s="188"/>
      <c r="Y111" s="188"/>
      <c r="Z111" s="188"/>
      <c r="AA111" s="188"/>
      <c r="AB111" s="188"/>
      <c r="AC111" s="188"/>
      <c r="AD111" s="188"/>
      <c r="AE111" s="188"/>
      <c r="AF111" s="188"/>
      <c r="AG111" s="188"/>
      <c r="AH111" s="188"/>
      <c r="AI111" s="188"/>
      <c r="AJ111" s="188"/>
      <c r="AK111" s="188"/>
      <c r="AL111" s="188"/>
      <c r="AM111" s="187"/>
      <c r="AN111" s="187"/>
      <c r="AO111" s="187"/>
      <c r="AP111" s="187"/>
      <c r="AQ111" s="187"/>
      <c r="AR111" s="187"/>
      <c r="AS111" s="187"/>
      <c r="AT111" s="187"/>
      <c r="AU111" s="187"/>
      <c r="AV111" s="187"/>
      <c r="AW111" s="187"/>
      <c r="AX111" s="187"/>
      <c r="AY111" s="187"/>
      <c r="AZ111" s="187"/>
      <c r="BA111" s="187"/>
      <c r="BB111" s="187"/>
      <c r="BC111" s="187"/>
      <c r="BD111" s="187"/>
      <c r="BE111" s="187"/>
      <c r="BF111" s="187"/>
      <c r="BG111" s="187"/>
      <c r="BH111" s="187"/>
      <c r="BI111" s="187"/>
      <c r="BJ111" s="187"/>
      <c r="BK111" s="187"/>
      <c r="BL111" s="187"/>
      <c r="BM111" s="187"/>
      <c r="BN111" s="187"/>
      <c r="BO111" s="187"/>
      <c r="BP111" s="187"/>
    </row>
    <row r="112" spans="1:68">
      <c r="A112" t="s">
        <v>404</v>
      </c>
      <c r="B112" t="s">
        <v>68</v>
      </c>
      <c r="C112" s="192">
        <v>1</v>
      </c>
      <c r="D112" s="192">
        <v>1</v>
      </c>
      <c r="E112" t="s">
        <v>30</v>
      </c>
      <c r="F112" t="s">
        <v>54</v>
      </c>
      <c r="G112" t="s">
        <v>37</v>
      </c>
      <c r="H112" t="s">
        <v>38</v>
      </c>
      <c r="I112" t="s">
        <v>166</v>
      </c>
      <c r="J112" t="s">
        <v>132</v>
      </c>
      <c r="K112" s="194">
        <v>46218</v>
      </c>
      <c r="L112" s="194">
        <v>46400</v>
      </c>
      <c r="M112" t="s">
        <v>89</v>
      </c>
      <c r="N112" t="s">
        <v>116</v>
      </c>
      <c r="O112" s="188"/>
      <c r="P112" s="188"/>
      <c r="Q112" s="188"/>
      <c r="R112" s="188"/>
      <c r="S112" s="188"/>
      <c r="T112" s="188"/>
      <c r="U112" s="188"/>
      <c r="V112" s="188"/>
      <c r="W112" s="188"/>
      <c r="X112" s="188"/>
      <c r="Y112" s="188"/>
      <c r="Z112" s="188"/>
      <c r="AA112" s="188"/>
      <c r="AB112" s="188"/>
      <c r="AC112" s="188"/>
      <c r="AD112" s="188"/>
      <c r="AE112" s="188"/>
      <c r="AF112" s="188"/>
      <c r="AG112" s="188"/>
      <c r="AH112" s="188"/>
      <c r="AI112" s="188"/>
      <c r="AJ112" s="188"/>
      <c r="AK112" s="188"/>
      <c r="AL112" s="188"/>
      <c r="AM112" s="187"/>
      <c r="AN112" s="187"/>
      <c r="AO112" s="187"/>
      <c r="AP112" s="187"/>
      <c r="AQ112" s="187"/>
      <c r="AR112" s="187"/>
      <c r="AS112" s="187"/>
      <c r="AT112" s="187"/>
      <c r="AU112" s="187"/>
      <c r="AV112" s="187"/>
      <c r="AW112" s="187"/>
      <c r="AX112" s="187"/>
      <c r="AY112" s="187"/>
      <c r="AZ112" s="187"/>
      <c r="BA112" s="187"/>
      <c r="BB112" s="187"/>
      <c r="BC112" s="187"/>
      <c r="BD112" s="187"/>
      <c r="BE112" s="187"/>
      <c r="BF112" s="187"/>
      <c r="BG112" s="187"/>
      <c r="BH112" s="187"/>
      <c r="BI112" s="187"/>
      <c r="BJ112" s="187"/>
      <c r="BK112" s="187"/>
      <c r="BL112" s="187"/>
      <c r="BM112" s="187"/>
      <c r="BN112" s="187"/>
      <c r="BO112" s="187"/>
      <c r="BP112" s="187"/>
    </row>
    <row r="113" spans="1:68">
      <c r="A113" t="s">
        <v>405</v>
      </c>
      <c r="B113" t="s">
        <v>31</v>
      </c>
      <c r="C113" s="192">
        <v>1</v>
      </c>
      <c r="D113" s="192">
        <v>8</v>
      </c>
      <c r="E113" t="s">
        <v>30</v>
      </c>
      <c r="F113" t="s">
        <v>49</v>
      </c>
      <c r="G113" t="s">
        <v>37</v>
      </c>
      <c r="H113" t="s">
        <v>38</v>
      </c>
      <c r="I113" t="s">
        <v>50</v>
      </c>
      <c r="J113" t="s">
        <v>40</v>
      </c>
      <c r="K113" s="194">
        <v>46287</v>
      </c>
      <c r="L113" s="194">
        <v>46463</v>
      </c>
      <c r="M113" t="s">
        <v>44</v>
      </c>
      <c r="N113">
        <v>3339</v>
      </c>
      <c r="O113" s="188"/>
      <c r="P113" s="188"/>
      <c r="Q113" s="188"/>
      <c r="R113" s="188"/>
      <c r="S113" s="188"/>
      <c r="T113" s="188"/>
      <c r="U113" s="188"/>
      <c r="V113" s="188"/>
      <c r="W113" s="188"/>
      <c r="X113" s="188"/>
      <c r="Y113" s="188"/>
      <c r="Z113" s="188"/>
      <c r="AA113" s="188"/>
      <c r="AB113" s="188"/>
      <c r="AC113" s="188"/>
      <c r="AD113" s="188"/>
      <c r="AE113" s="188"/>
      <c r="AF113" s="188"/>
      <c r="AG113" s="188"/>
      <c r="AH113" s="188"/>
      <c r="AI113" s="188"/>
      <c r="AJ113" s="188"/>
      <c r="AK113" s="188"/>
      <c r="AL113" s="188"/>
      <c r="AM113" s="187"/>
      <c r="AN113" s="187"/>
      <c r="AO113" s="187"/>
      <c r="AP113" s="187"/>
      <c r="AQ113" s="187"/>
      <c r="AR113" s="187"/>
      <c r="AS113" s="187"/>
      <c r="AT113" s="187"/>
      <c r="AU113" s="187"/>
      <c r="AV113" s="187"/>
      <c r="AW113" s="187"/>
      <c r="AX113" s="187"/>
      <c r="AY113" s="187"/>
      <c r="AZ113" s="187"/>
      <c r="BA113" s="187"/>
      <c r="BB113" s="187"/>
      <c r="BC113" s="187"/>
      <c r="BD113" s="187"/>
      <c r="BE113" s="187"/>
      <c r="BF113" s="187"/>
      <c r="BG113" s="187"/>
      <c r="BH113" s="187"/>
      <c r="BI113" s="187"/>
      <c r="BJ113" s="187"/>
      <c r="BK113" s="187"/>
      <c r="BL113" s="187"/>
      <c r="BM113" s="187"/>
      <c r="BN113" s="187"/>
      <c r="BO113" s="187"/>
      <c r="BP113" s="187"/>
    </row>
    <row r="114" spans="1:68">
      <c r="A114" t="s">
        <v>407</v>
      </c>
      <c r="B114" t="s">
        <v>31</v>
      </c>
      <c r="C114" s="192">
        <v>1</v>
      </c>
      <c r="D114" s="192">
        <v>12</v>
      </c>
      <c r="E114" t="s">
        <v>30</v>
      </c>
      <c r="F114" t="s">
        <v>49</v>
      </c>
      <c r="G114" t="s">
        <v>37</v>
      </c>
      <c r="H114" t="s">
        <v>38</v>
      </c>
      <c r="I114" t="s">
        <v>50</v>
      </c>
      <c r="J114" t="s">
        <v>40</v>
      </c>
      <c r="K114" s="194">
        <v>46315</v>
      </c>
      <c r="L114" s="194">
        <v>46492</v>
      </c>
      <c r="M114" t="s">
        <v>94</v>
      </c>
      <c r="N114">
        <v>3346</v>
      </c>
      <c r="O114" s="188"/>
      <c r="P114" s="188"/>
      <c r="Q114" s="188"/>
      <c r="R114" s="188"/>
      <c r="S114" s="188"/>
      <c r="T114" s="188"/>
      <c r="U114" s="188"/>
      <c r="V114" s="188"/>
      <c r="W114" s="188"/>
      <c r="X114" s="188"/>
      <c r="Y114" s="188"/>
      <c r="Z114" s="188"/>
      <c r="AA114" s="188"/>
      <c r="AB114" s="188"/>
      <c r="AC114" s="188"/>
      <c r="AD114" s="188"/>
      <c r="AE114" s="188"/>
      <c r="AF114" s="188"/>
      <c r="AG114" s="188"/>
      <c r="AH114" s="188"/>
      <c r="AI114" s="188"/>
      <c r="AJ114" s="188"/>
      <c r="AK114" s="188"/>
      <c r="AL114" s="188"/>
      <c r="AM114" s="187"/>
      <c r="AN114" s="187"/>
      <c r="AO114" s="187"/>
      <c r="AP114" s="187"/>
      <c r="AQ114" s="187"/>
      <c r="AR114" s="187"/>
      <c r="AS114" s="187"/>
      <c r="AT114" s="187"/>
      <c r="AU114" s="187"/>
      <c r="AV114" s="187"/>
      <c r="AW114" s="187"/>
      <c r="AX114" s="187"/>
      <c r="AY114" s="187"/>
      <c r="AZ114" s="187"/>
      <c r="BA114" s="187"/>
      <c r="BB114" s="187"/>
      <c r="BC114" s="187"/>
      <c r="BD114" s="187"/>
      <c r="BE114" s="187"/>
      <c r="BF114" s="187"/>
      <c r="BG114" s="187"/>
      <c r="BH114" s="187"/>
      <c r="BI114" s="187"/>
      <c r="BJ114" s="187"/>
      <c r="BK114" s="187"/>
      <c r="BL114" s="187"/>
      <c r="BM114" s="187"/>
      <c r="BN114" s="187"/>
      <c r="BO114" s="187"/>
      <c r="BP114" s="187"/>
    </row>
    <row r="115" spans="1:68">
      <c r="A115" t="s">
        <v>409</v>
      </c>
      <c r="B115" t="s">
        <v>31</v>
      </c>
      <c r="C115" s="192">
        <v>1</v>
      </c>
      <c r="D115" s="192">
        <v>10</v>
      </c>
      <c r="E115" t="s">
        <v>30</v>
      </c>
      <c r="F115" t="s">
        <v>49</v>
      </c>
      <c r="G115" t="s">
        <v>37</v>
      </c>
      <c r="H115" t="s">
        <v>38</v>
      </c>
      <c r="I115" t="s">
        <v>50</v>
      </c>
      <c r="J115" t="s">
        <v>40</v>
      </c>
      <c r="K115" s="194">
        <v>46315</v>
      </c>
      <c r="L115" s="194">
        <v>46492</v>
      </c>
      <c r="M115" t="s">
        <v>94</v>
      </c>
      <c r="N115">
        <v>3343</v>
      </c>
      <c r="O115" s="188"/>
      <c r="P115" s="188"/>
      <c r="Q115" s="188"/>
      <c r="R115" s="188"/>
      <c r="S115" s="188"/>
      <c r="T115" s="188"/>
      <c r="U115" s="188"/>
      <c r="V115" s="188"/>
      <c r="W115" s="188"/>
      <c r="X115" s="188"/>
      <c r="Y115" s="188"/>
      <c r="Z115" s="188"/>
      <c r="AA115" s="188"/>
      <c r="AB115" s="188"/>
      <c r="AC115" s="188"/>
      <c r="AD115" s="188"/>
      <c r="AE115" s="188"/>
      <c r="AF115" s="188"/>
      <c r="AG115" s="188"/>
      <c r="AH115" s="188"/>
      <c r="AI115" s="188"/>
      <c r="AJ115" s="188"/>
      <c r="AK115" s="188"/>
      <c r="AL115" s="188"/>
      <c r="AM115" s="187"/>
      <c r="AN115" s="187"/>
      <c r="AO115" s="187"/>
      <c r="AP115" s="187"/>
      <c r="AQ115" s="187"/>
      <c r="AR115" s="187"/>
      <c r="AS115" s="187"/>
      <c r="AT115" s="187"/>
      <c r="AU115" s="187"/>
      <c r="AV115" s="187"/>
      <c r="AW115" s="187"/>
      <c r="AX115" s="187"/>
      <c r="AY115" s="187"/>
      <c r="AZ115" s="187"/>
      <c r="BA115" s="187"/>
      <c r="BB115" s="187"/>
      <c r="BC115" s="187"/>
      <c r="BD115" s="187"/>
      <c r="BE115" s="187"/>
      <c r="BF115" s="187"/>
      <c r="BG115" s="187"/>
      <c r="BH115" s="187"/>
      <c r="BI115" s="187"/>
      <c r="BJ115" s="187"/>
      <c r="BK115" s="187"/>
      <c r="BL115" s="187"/>
      <c r="BM115" s="187"/>
      <c r="BN115" s="187"/>
      <c r="BO115" s="187"/>
      <c r="BP115" s="187"/>
    </row>
    <row r="116" spans="1:68">
      <c r="A116" t="s">
        <v>410</v>
      </c>
      <c r="B116" t="s">
        <v>31</v>
      </c>
      <c r="C116" s="192">
        <v>1</v>
      </c>
      <c r="D116" s="192">
        <v>8</v>
      </c>
      <c r="E116" t="s">
        <v>30</v>
      </c>
      <c r="F116" t="s">
        <v>49</v>
      </c>
      <c r="G116" t="s">
        <v>37</v>
      </c>
      <c r="H116" t="s">
        <v>38</v>
      </c>
      <c r="I116" t="s">
        <v>50</v>
      </c>
      <c r="J116" t="s">
        <v>40</v>
      </c>
      <c r="K116" s="194">
        <v>46280</v>
      </c>
      <c r="L116" s="194">
        <v>46456</v>
      </c>
      <c r="M116" t="s">
        <v>44</v>
      </c>
      <c r="N116">
        <v>3341</v>
      </c>
      <c r="O116" s="188"/>
      <c r="P116" s="188"/>
      <c r="Q116" s="188"/>
      <c r="R116" s="188"/>
      <c r="S116" s="188"/>
      <c r="T116" s="188"/>
      <c r="U116" s="188"/>
      <c r="V116" s="188"/>
      <c r="W116" s="188"/>
      <c r="X116" s="188"/>
      <c r="Y116" s="188"/>
      <c r="Z116" s="188"/>
      <c r="AA116" s="188"/>
      <c r="AB116" s="188"/>
      <c r="AC116" s="188"/>
      <c r="AD116" s="188"/>
      <c r="AE116" s="188"/>
      <c r="AF116" s="188"/>
      <c r="AG116" s="188"/>
      <c r="AH116" s="188"/>
      <c r="AI116" s="188"/>
      <c r="AJ116" s="188"/>
      <c r="AK116" s="188"/>
      <c r="AL116" s="188"/>
      <c r="AM116" s="187"/>
      <c r="AN116" s="187"/>
      <c r="AO116" s="187"/>
      <c r="AP116" s="187"/>
      <c r="AQ116" s="187"/>
      <c r="AR116" s="187"/>
      <c r="AS116" s="187"/>
      <c r="AT116" s="187"/>
      <c r="AU116" s="187"/>
      <c r="AV116" s="187"/>
      <c r="AW116" s="187"/>
      <c r="AX116" s="187"/>
      <c r="AY116" s="187"/>
      <c r="AZ116" s="187"/>
      <c r="BA116" s="187"/>
      <c r="BB116" s="187"/>
      <c r="BC116" s="187"/>
      <c r="BD116" s="187"/>
      <c r="BE116" s="187"/>
      <c r="BF116" s="187"/>
      <c r="BG116" s="187"/>
      <c r="BH116" s="187"/>
      <c r="BI116" s="187"/>
      <c r="BJ116" s="187"/>
      <c r="BK116" s="187"/>
      <c r="BL116" s="187"/>
      <c r="BM116" s="187"/>
      <c r="BN116" s="187"/>
      <c r="BO116" s="187"/>
      <c r="BP116" s="187"/>
    </row>
    <row r="117" spans="1:68">
      <c r="A117" t="s">
        <v>412</v>
      </c>
      <c r="B117" t="s">
        <v>66</v>
      </c>
      <c r="C117" s="192">
        <v>1</v>
      </c>
      <c r="D117" s="192">
        <v>10</v>
      </c>
      <c r="E117" t="s">
        <v>30</v>
      </c>
      <c r="F117" t="s">
        <v>36</v>
      </c>
      <c r="G117" t="s">
        <v>37</v>
      </c>
      <c r="H117" t="s">
        <v>38</v>
      </c>
      <c r="I117" t="s">
        <v>122</v>
      </c>
      <c r="J117" t="s">
        <v>123</v>
      </c>
      <c r="K117" s="194">
        <v>46251</v>
      </c>
      <c r="L117" s="194">
        <v>46427</v>
      </c>
      <c r="M117" t="s">
        <v>93</v>
      </c>
      <c r="N117">
        <v>3232</v>
      </c>
      <c r="O117" s="188"/>
      <c r="P117" s="188"/>
      <c r="Q117" s="188"/>
      <c r="R117" s="188"/>
      <c r="S117" s="188"/>
      <c r="T117" s="188"/>
      <c r="U117" s="188"/>
      <c r="V117" s="188"/>
      <c r="W117" s="188"/>
      <c r="X117" s="188"/>
      <c r="Y117" s="188"/>
      <c r="Z117" s="188"/>
      <c r="AA117" s="188"/>
      <c r="AB117" s="188"/>
      <c r="AC117" s="188"/>
      <c r="AD117" s="188"/>
      <c r="AE117" s="188"/>
      <c r="AF117" s="188"/>
      <c r="AG117" s="188"/>
      <c r="AH117" s="188"/>
      <c r="AI117" s="188"/>
      <c r="AJ117" s="188"/>
      <c r="AK117" s="188"/>
      <c r="AL117" s="188"/>
      <c r="AM117" s="187"/>
      <c r="AN117" s="187"/>
      <c r="AO117" s="187"/>
      <c r="AP117" s="187"/>
      <c r="AQ117" s="187"/>
      <c r="AR117" s="187"/>
      <c r="AS117" s="187"/>
      <c r="AT117" s="187"/>
      <c r="AU117" s="187"/>
      <c r="AV117" s="187"/>
      <c r="AW117" s="187"/>
      <c r="AX117" s="187"/>
      <c r="AY117" s="187"/>
      <c r="AZ117" s="187"/>
      <c r="BA117" s="187"/>
      <c r="BB117" s="187"/>
      <c r="BC117" s="187"/>
      <c r="BD117" s="187"/>
      <c r="BE117" s="187"/>
      <c r="BF117" s="187"/>
      <c r="BG117" s="187"/>
      <c r="BH117" s="187"/>
      <c r="BI117" s="187"/>
      <c r="BJ117" s="187"/>
      <c r="BK117" s="187"/>
      <c r="BL117" s="187"/>
      <c r="BM117" s="187"/>
      <c r="BN117" s="187"/>
      <c r="BO117" s="187"/>
      <c r="BP117" s="187"/>
    </row>
    <row r="118" spans="1:68">
      <c r="A118" t="s">
        <v>415</v>
      </c>
      <c r="B118" t="s">
        <v>66</v>
      </c>
      <c r="C118" s="192">
        <v>1</v>
      </c>
      <c r="D118" s="192">
        <v>12</v>
      </c>
      <c r="E118" t="s">
        <v>30</v>
      </c>
      <c r="F118" t="s">
        <v>36</v>
      </c>
      <c r="G118" t="s">
        <v>37</v>
      </c>
      <c r="H118" t="s">
        <v>38</v>
      </c>
      <c r="I118" t="s">
        <v>122</v>
      </c>
      <c r="J118" t="s">
        <v>123</v>
      </c>
      <c r="K118" s="194">
        <v>46251</v>
      </c>
      <c r="L118" s="194">
        <v>46427</v>
      </c>
      <c r="M118" t="s">
        <v>93</v>
      </c>
      <c r="N118">
        <v>3234</v>
      </c>
      <c r="O118" s="188"/>
      <c r="P118" s="188"/>
      <c r="Q118" s="188"/>
      <c r="R118" s="188"/>
      <c r="S118" s="188"/>
      <c r="T118" s="188"/>
      <c r="U118" s="188"/>
      <c r="V118" s="188"/>
      <c r="W118" s="188"/>
      <c r="X118" s="188"/>
      <c r="Y118" s="188"/>
      <c r="Z118" s="188"/>
      <c r="AA118" s="188"/>
      <c r="AB118" s="188"/>
      <c r="AC118" s="188"/>
      <c r="AD118" s="188"/>
      <c r="AE118" s="188"/>
      <c r="AF118" s="188"/>
      <c r="AG118" s="188"/>
      <c r="AH118" s="188"/>
      <c r="AI118" s="188"/>
      <c r="AJ118" s="188"/>
      <c r="AK118" s="188"/>
      <c r="AL118" s="188"/>
      <c r="AM118" s="187"/>
      <c r="AN118" s="187"/>
      <c r="AO118" s="187"/>
      <c r="AP118" s="187"/>
      <c r="AQ118" s="187"/>
      <c r="AR118" s="187"/>
      <c r="AS118" s="187"/>
      <c r="AT118" s="187"/>
      <c r="AU118" s="187"/>
      <c r="AV118" s="187"/>
      <c r="AW118" s="187"/>
      <c r="AX118" s="187"/>
      <c r="AY118" s="187"/>
      <c r="AZ118" s="187"/>
      <c r="BA118" s="187"/>
      <c r="BB118" s="187"/>
      <c r="BC118" s="187"/>
      <c r="BD118" s="187"/>
      <c r="BE118" s="187"/>
      <c r="BF118" s="187"/>
      <c r="BG118" s="187"/>
      <c r="BH118" s="187"/>
      <c r="BI118" s="187"/>
      <c r="BJ118" s="187"/>
      <c r="BK118" s="187"/>
      <c r="BL118" s="187"/>
      <c r="BM118" s="187"/>
      <c r="BN118" s="187"/>
      <c r="BO118" s="187"/>
      <c r="BP118" s="187"/>
    </row>
    <row r="119" spans="1:68">
      <c r="A119" t="s">
        <v>417</v>
      </c>
      <c r="B119" t="s">
        <v>68</v>
      </c>
      <c r="C119" s="192">
        <v>1</v>
      </c>
      <c r="D119" s="192">
        <v>6</v>
      </c>
      <c r="E119" t="s">
        <v>30</v>
      </c>
      <c r="F119" t="s">
        <v>54</v>
      </c>
      <c r="G119" t="s">
        <v>37</v>
      </c>
      <c r="H119" t="s">
        <v>38</v>
      </c>
      <c r="I119" t="s">
        <v>166</v>
      </c>
      <c r="J119" t="s">
        <v>132</v>
      </c>
      <c r="K119" s="194">
        <v>46218</v>
      </c>
      <c r="L119" s="194">
        <v>46400</v>
      </c>
      <c r="M119" t="s">
        <v>89</v>
      </c>
      <c r="N119" t="s">
        <v>116</v>
      </c>
      <c r="O119" s="188"/>
      <c r="P119" s="188"/>
      <c r="Q119" s="188"/>
      <c r="R119" s="188"/>
      <c r="S119" s="188"/>
      <c r="T119" s="188"/>
      <c r="U119" s="188"/>
      <c r="V119" s="188"/>
      <c r="W119" s="188"/>
      <c r="X119" s="188"/>
      <c r="Y119" s="188"/>
      <c r="Z119" s="188"/>
      <c r="AA119" s="188"/>
      <c r="AB119" s="188"/>
      <c r="AC119" s="188"/>
      <c r="AD119" s="188"/>
      <c r="AE119" s="188"/>
      <c r="AF119" s="188"/>
      <c r="AG119" s="188"/>
      <c r="AH119" s="188"/>
      <c r="AI119" s="188"/>
      <c r="AJ119" s="188"/>
      <c r="AK119" s="188"/>
      <c r="AL119" s="188"/>
      <c r="AM119" s="187"/>
      <c r="AN119" s="187"/>
      <c r="AO119" s="187"/>
      <c r="AP119" s="187"/>
      <c r="AQ119" s="187"/>
      <c r="AR119" s="187"/>
      <c r="AS119" s="187"/>
      <c r="AT119" s="187"/>
      <c r="AU119" s="187"/>
      <c r="AV119" s="187"/>
      <c r="AW119" s="187"/>
      <c r="AX119" s="187"/>
      <c r="AY119" s="187"/>
      <c r="AZ119" s="187"/>
      <c r="BA119" s="187"/>
      <c r="BB119" s="187"/>
      <c r="BC119" s="187"/>
      <c r="BD119" s="187"/>
      <c r="BE119" s="187"/>
      <c r="BF119" s="187"/>
      <c r="BG119" s="187"/>
      <c r="BH119" s="187"/>
      <c r="BI119" s="187"/>
      <c r="BJ119" s="187"/>
      <c r="BK119" s="187"/>
      <c r="BL119" s="187"/>
      <c r="BM119" s="187"/>
      <c r="BN119" s="187"/>
      <c r="BO119" s="187"/>
      <c r="BP119" s="187"/>
    </row>
    <row r="120" spans="1:68">
      <c r="A120" t="s">
        <v>418</v>
      </c>
      <c r="B120" t="s">
        <v>68</v>
      </c>
      <c r="C120" s="192">
        <v>1</v>
      </c>
      <c r="D120" s="192">
        <v>3</v>
      </c>
      <c r="E120" t="s">
        <v>30</v>
      </c>
      <c r="F120" t="s">
        <v>54</v>
      </c>
      <c r="G120" t="s">
        <v>37</v>
      </c>
      <c r="H120" t="s">
        <v>38</v>
      </c>
      <c r="I120" t="s">
        <v>166</v>
      </c>
      <c r="J120" t="s">
        <v>132</v>
      </c>
      <c r="K120" s="194">
        <v>46218</v>
      </c>
      <c r="L120" s="194">
        <v>46400</v>
      </c>
      <c r="M120" t="s">
        <v>89</v>
      </c>
      <c r="N120" t="s">
        <v>116</v>
      </c>
      <c r="O120" s="188"/>
      <c r="P120" s="188"/>
      <c r="Q120" s="188"/>
      <c r="R120" s="188"/>
      <c r="S120" s="188"/>
      <c r="T120" s="188"/>
      <c r="U120" s="188"/>
      <c r="V120" s="188"/>
      <c r="W120" s="188"/>
      <c r="X120" s="188"/>
      <c r="Y120" s="188"/>
      <c r="Z120" s="188"/>
      <c r="AA120" s="188"/>
      <c r="AB120" s="188"/>
      <c r="AC120" s="188"/>
      <c r="AD120" s="188"/>
      <c r="AE120" s="188"/>
      <c r="AF120" s="188"/>
      <c r="AG120" s="188"/>
      <c r="AH120" s="188"/>
      <c r="AI120" s="188"/>
      <c r="AJ120" s="188"/>
      <c r="AK120" s="188"/>
      <c r="AL120" s="188"/>
      <c r="AM120" s="187"/>
      <c r="AN120" s="187"/>
      <c r="AO120" s="187"/>
      <c r="AP120" s="187"/>
      <c r="AQ120" s="187"/>
      <c r="AR120" s="187"/>
      <c r="AS120" s="187"/>
      <c r="AT120" s="187"/>
      <c r="AU120" s="187"/>
      <c r="AV120" s="187"/>
      <c r="AW120" s="187"/>
      <c r="AX120" s="187"/>
      <c r="AY120" s="187"/>
      <c r="AZ120" s="187"/>
      <c r="BA120" s="187"/>
      <c r="BB120" s="187"/>
      <c r="BC120" s="187"/>
      <c r="BD120" s="187"/>
      <c r="BE120" s="187"/>
      <c r="BF120" s="187"/>
      <c r="BG120" s="187"/>
      <c r="BH120" s="187"/>
      <c r="BI120" s="187"/>
      <c r="BJ120" s="187"/>
      <c r="BK120" s="187"/>
      <c r="BL120" s="187"/>
      <c r="BM120" s="187"/>
      <c r="BN120" s="187"/>
      <c r="BO120" s="187"/>
      <c r="BP120" s="187"/>
    </row>
    <row r="121" spans="1:68">
      <c r="A121" t="s">
        <v>28</v>
      </c>
      <c r="B121" t="s">
        <v>31</v>
      </c>
      <c r="C121" s="192">
        <v>1</v>
      </c>
      <c r="D121" s="192">
        <v>14</v>
      </c>
      <c r="E121" t="s">
        <v>30</v>
      </c>
      <c r="F121" t="s">
        <v>36</v>
      </c>
      <c r="G121" t="s">
        <v>37</v>
      </c>
      <c r="H121" t="s">
        <v>38</v>
      </c>
      <c r="I121" t="s">
        <v>39</v>
      </c>
      <c r="J121" t="s">
        <v>40</v>
      </c>
      <c r="K121" s="194">
        <v>46301</v>
      </c>
      <c r="L121" s="194">
        <v>46479</v>
      </c>
      <c r="M121" t="s">
        <v>44</v>
      </c>
      <c r="N121">
        <v>3347</v>
      </c>
      <c r="O121" s="188"/>
      <c r="P121" s="188"/>
      <c r="Q121" s="188"/>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7"/>
      <c r="AN121" s="187"/>
      <c r="AO121" s="187"/>
      <c r="AP121" s="187"/>
      <c r="AQ121" s="187"/>
      <c r="AR121" s="187"/>
      <c r="AS121" s="187"/>
      <c r="AT121" s="187"/>
      <c r="AU121" s="187"/>
      <c r="AV121" s="187"/>
      <c r="AW121" s="187"/>
      <c r="AX121" s="187"/>
      <c r="AY121" s="187"/>
      <c r="AZ121" s="187"/>
      <c r="BA121" s="187"/>
      <c r="BB121" s="187"/>
      <c r="BC121" s="187"/>
      <c r="BD121" s="187"/>
      <c r="BE121" s="187"/>
      <c r="BF121" s="187"/>
      <c r="BG121" s="187"/>
      <c r="BH121" s="187"/>
      <c r="BI121" s="187"/>
      <c r="BJ121" s="187"/>
      <c r="BK121" s="187"/>
      <c r="BL121" s="187"/>
      <c r="BM121" s="187"/>
      <c r="BN121" s="187"/>
      <c r="BO121" s="187"/>
      <c r="BP121" s="187"/>
    </row>
    <row r="122" spans="1:68">
      <c r="A122" t="s">
        <v>419</v>
      </c>
      <c r="B122" t="s">
        <v>31</v>
      </c>
      <c r="C122" s="192">
        <v>1</v>
      </c>
      <c r="D122" s="192">
        <v>8</v>
      </c>
      <c r="E122" t="s">
        <v>30</v>
      </c>
      <c r="F122" t="s">
        <v>36</v>
      </c>
      <c r="G122" t="s">
        <v>37</v>
      </c>
      <c r="H122" t="s">
        <v>38</v>
      </c>
      <c r="I122" t="s">
        <v>39</v>
      </c>
      <c r="J122" t="s">
        <v>40</v>
      </c>
      <c r="K122" s="194">
        <v>46266</v>
      </c>
      <c r="L122" s="194">
        <v>46442</v>
      </c>
      <c r="M122" t="s">
        <v>93</v>
      </c>
      <c r="N122">
        <v>3342</v>
      </c>
      <c r="O122" s="188"/>
      <c r="P122" s="188"/>
      <c r="Q122" s="188"/>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7"/>
      <c r="AN122" s="187"/>
      <c r="AO122" s="187"/>
      <c r="AP122" s="187"/>
      <c r="AQ122" s="187"/>
      <c r="AR122" s="187"/>
      <c r="AS122" s="187"/>
      <c r="AT122" s="187"/>
      <c r="AU122" s="187"/>
      <c r="AV122" s="187"/>
      <c r="AW122" s="187"/>
      <c r="AX122" s="187"/>
      <c r="AY122" s="187"/>
      <c r="AZ122" s="187"/>
      <c r="BA122" s="187"/>
      <c r="BB122" s="187"/>
      <c r="BC122" s="187"/>
      <c r="BD122" s="187"/>
      <c r="BE122" s="187"/>
      <c r="BF122" s="187"/>
      <c r="BG122" s="187"/>
      <c r="BH122" s="187"/>
      <c r="BI122" s="187"/>
      <c r="BJ122" s="187"/>
      <c r="BK122" s="187"/>
      <c r="BL122" s="187"/>
      <c r="BM122" s="187"/>
      <c r="BN122" s="187"/>
      <c r="BO122" s="187"/>
      <c r="BP122" s="187"/>
    </row>
    <row r="123" spans="1:68">
      <c r="A123" t="s">
        <v>420</v>
      </c>
      <c r="B123" t="s">
        <v>65</v>
      </c>
      <c r="C123" s="192">
        <v>1</v>
      </c>
      <c r="D123" s="192">
        <v>5</v>
      </c>
      <c r="E123" t="s">
        <v>30</v>
      </c>
      <c r="F123" t="s">
        <v>63</v>
      </c>
      <c r="G123" t="s">
        <v>37</v>
      </c>
      <c r="H123" t="s">
        <v>151</v>
      </c>
      <c r="I123" t="s">
        <v>423</v>
      </c>
      <c r="J123" t="s">
        <v>153</v>
      </c>
      <c r="K123" s="194">
        <v>46296</v>
      </c>
      <c r="L123" s="194">
        <v>46476</v>
      </c>
      <c r="M123" t="s">
        <v>44</v>
      </c>
      <c r="N123">
        <v>3370</v>
      </c>
      <c r="O123" s="188"/>
      <c r="P123" s="188"/>
      <c r="Q123" s="188"/>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7"/>
      <c r="AN123" s="187"/>
      <c r="AO123" s="187"/>
      <c r="AP123" s="187"/>
      <c r="AQ123" s="187"/>
      <c r="AR123" s="187"/>
      <c r="AS123" s="187"/>
      <c r="AT123" s="187"/>
      <c r="AU123" s="187"/>
      <c r="AV123" s="187"/>
      <c r="AW123" s="187"/>
      <c r="AX123" s="187"/>
      <c r="AY123" s="187"/>
      <c r="AZ123" s="187"/>
      <c r="BA123" s="187"/>
      <c r="BB123" s="187"/>
      <c r="BC123" s="187"/>
      <c r="BD123" s="187"/>
      <c r="BE123" s="187"/>
      <c r="BF123" s="187"/>
      <c r="BG123" s="187"/>
      <c r="BH123" s="187"/>
      <c r="BI123" s="187"/>
      <c r="BJ123" s="187"/>
      <c r="BK123" s="187"/>
      <c r="BL123" s="187"/>
      <c r="BM123" s="187"/>
      <c r="BN123" s="187"/>
      <c r="BO123" s="187"/>
      <c r="BP123" s="187"/>
    </row>
    <row r="124" spans="1:68">
      <c r="A124" t="s">
        <v>425</v>
      </c>
      <c r="B124" t="s">
        <v>31</v>
      </c>
      <c r="C124" s="192">
        <v>1</v>
      </c>
      <c r="D124" s="192">
        <v>16</v>
      </c>
      <c r="E124" t="s">
        <v>30</v>
      </c>
      <c r="F124" t="s">
        <v>63</v>
      </c>
      <c r="G124" t="s">
        <v>37</v>
      </c>
      <c r="H124" t="s">
        <v>55</v>
      </c>
      <c r="I124" t="s">
        <v>56</v>
      </c>
      <c r="J124" t="s">
        <v>40</v>
      </c>
      <c r="K124" s="194">
        <v>46235</v>
      </c>
      <c r="L124" s="194">
        <v>46413</v>
      </c>
      <c r="M124" t="s">
        <v>89</v>
      </c>
      <c r="N124">
        <v>3348</v>
      </c>
      <c r="O124" s="188"/>
      <c r="P124" s="188"/>
      <c r="Q124" s="188"/>
      <c r="R124" s="188"/>
      <c r="S124" s="188"/>
      <c r="T124" s="188"/>
      <c r="U124" s="188"/>
      <c r="V124" s="188"/>
      <c r="W124" s="188"/>
      <c r="X124" s="188"/>
      <c r="Y124" s="188"/>
      <c r="Z124" s="188"/>
      <c r="AA124" s="188"/>
      <c r="AB124" s="188"/>
      <c r="AC124" s="188"/>
      <c r="AD124" s="188"/>
      <c r="AE124" s="188"/>
      <c r="AF124" s="188"/>
      <c r="AG124" s="188"/>
      <c r="AH124" s="188"/>
      <c r="AI124" s="188"/>
      <c r="AJ124" s="188"/>
      <c r="AK124" s="188"/>
      <c r="AL124" s="188"/>
      <c r="AM124" s="187"/>
      <c r="AN124" s="187"/>
      <c r="AO124" s="187"/>
      <c r="AP124" s="187"/>
      <c r="AQ124" s="187"/>
      <c r="AR124" s="187"/>
      <c r="AS124" s="187"/>
      <c r="AT124" s="187"/>
      <c r="AU124" s="187"/>
      <c r="AV124" s="187"/>
      <c r="AW124" s="187"/>
      <c r="AX124" s="187"/>
      <c r="AY124" s="187"/>
      <c r="AZ124" s="187"/>
      <c r="BA124" s="187"/>
      <c r="BB124" s="187"/>
      <c r="BC124" s="187"/>
      <c r="BD124" s="187"/>
      <c r="BE124" s="187"/>
      <c r="BF124" s="187"/>
      <c r="BG124" s="187"/>
      <c r="BH124" s="187"/>
      <c r="BI124" s="187"/>
      <c r="BJ124" s="187"/>
      <c r="BK124" s="187"/>
      <c r="BL124" s="187"/>
      <c r="BM124" s="187"/>
      <c r="BN124" s="187"/>
      <c r="BO124" s="187"/>
      <c r="BP124" s="187"/>
    </row>
    <row r="125" spans="1:68">
      <c r="A125" t="s">
        <v>427</v>
      </c>
      <c r="B125" t="s">
        <v>67</v>
      </c>
      <c r="C125" s="192">
        <v>1</v>
      </c>
      <c r="D125" s="192">
        <v>6</v>
      </c>
      <c r="E125" t="s">
        <v>30</v>
      </c>
      <c r="F125" t="s">
        <v>54</v>
      </c>
      <c r="G125" t="s">
        <v>37</v>
      </c>
      <c r="H125" t="s">
        <v>38</v>
      </c>
      <c r="I125" t="s">
        <v>189</v>
      </c>
      <c r="J125" t="s">
        <v>153</v>
      </c>
      <c r="K125" s="194">
        <v>46357</v>
      </c>
      <c r="L125" s="194">
        <v>46534</v>
      </c>
      <c r="M125" t="s">
        <v>95</v>
      </c>
      <c r="N125">
        <v>3209</v>
      </c>
      <c r="O125" s="188"/>
      <c r="P125" s="188"/>
      <c r="Q125" s="188"/>
      <c r="R125" s="188"/>
      <c r="S125" s="188"/>
      <c r="T125" s="188"/>
      <c r="U125" s="188"/>
      <c r="V125" s="188"/>
      <c r="W125" s="188"/>
      <c r="X125" s="188"/>
      <c r="Y125" s="188"/>
      <c r="Z125" s="188"/>
      <c r="AA125" s="188"/>
      <c r="AB125" s="188"/>
      <c r="AC125" s="188"/>
      <c r="AD125" s="188"/>
      <c r="AE125" s="188"/>
      <c r="AF125" s="188"/>
      <c r="AG125" s="188"/>
      <c r="AH125" s="188"/>
      <c r="AI125" s="188"/>
      <c r="AJ125" s="188"/>
      <c r="AK125" s="188"/>
      <c r="AL125" s="188"/>
      <c r="AM125" s="187"/>
      <c r="AN125" s="187"/>
      <c r="AO125" s="187"/>
      <c r="AP125" s="187"/>
      <c r="AQ125" s="187"/>
      <c r="AR125" s="187"/>
      <c r="AS125" s="187"/>
      <c r="AT125" s="187"/>
      <c r="AU125" s="187"/>
      <c r="AV125" s="187"/>
      <c r="AW125" s="187"/>
      <c r="AX125" s="187"/>
      <c r="AY125" s="187"/>
      <c r="AZ125" s="187"/>
      <c r="BA125" s="187"/>
      <c r="BB125" s="187"/>
      <c r="BC125" s="187"/>
      <c r="BD125" s="187"/>
      <c r="BE125" s="187"/>
      <c r="BF125" s="187"/>
      <c r="BG125" s="187"/>
      <c r="BH125" s="187"/>
      <c r="BI125" s="187"/>
      <c r="BJ125" s="187"/>
      <c r="BK125" s="187"/>
      <c r="BL125" s="187"/>
      <c r="BM125" s="187"/>
      <c r="BN125" s="187"/>
      <c r="BO125" s="187"/>
      <c r="BP125" s="187"/>
    </row>
    <row r="126" spans="1:68">
      <c r="A126" t="s">
        <v>429</v>
      </c>
      <c r="B126" t="s">
        <v>31</v>
      </c>
      <c r="C126" s="192">
        <v>1</v>
      </c>
      <c r="D126" s="192">
        <v>6</v>
      </c>
      <c r="E126" t="s">
        <v>75</v>
      </c>
      <c r="F126"/>
      <c r="G126" t="s">
        <v>79</v>
      </c>
      <c r="H126" t="s">
        <v>38</v>
      </c>
      <c r="I126" t="s">
        <v>50</v>
      </c>
      <c r="J126" t="s">
        <v>40</v>
      </c>
      <c r="K126" s="194"/>
      <c r="L126" s="194"/>
      <c r="M126" t="s">
        <v>84</v>
      </c>
      <c r="N126" t="s">
        <v>431</v>
      </c>
      <c r="O126" s="188"/>
      <c r="P126" s="188"/>
      <c r="Q126" s="188"/>
      <c r="R126" s="188"/>
      <c r="S126" s="188"/>
      <c r="T126" s="188"/>
      <c r="U126" s="188"/>
      <c r="V126" s="188"/>
      <c r="W126" s="188"/>
      <c r="X126" s="188"/>
      <c r="Y126" s="188"/>
      <c r="Z126" s="188"/>
      <c r="AA126" s="188"/>
      <c r="AB126" s="188"/>
      <c r="AC126" s="188"/>
      <c r="AD126" s="188"/>
      <c r="AE126" s="188"/>
      <c r="AF126" s="188"/>
      <c r="AG126" s="188"/>
      <c r="AH126" s="188"/>
      <c r="AI126" s="188"/>
      <c r="AJ126" s="188"/>
      <c r="AK126" s="188"/>
      <c r="AL126" s="188"/>
      <c r="AM126" s="187"/>
      <c r="AN126" s="187"/>
      <c r="AO126" s="187"/>
      <c r="AP126" s="187"/>
      <c r="AQ126" s="187"/>
      <c r="AR126" s="187"/>
      <c r="AS126" s="187"/>
      <c r="AT126" s="187"/>
      <c r="AU126" s="187"/>
      <c r="AV126" s="187"/>
      <c r="AW126" s="187"/>
      <c r="AX126" s="187"/>
      <c r="AY126" s="187"/>
      <c r="AZ126" s="187"/>
      <c r="BA126" s="187"/>
      <c r="BB126" s="187"/>
      <c r="BC126" s="187"/>
      <c r="BD126" s="187"/>
      <c r="BE126" s="187"/>
      <c r="BF126" s="187"/>
      <c r="BG126" s="187"/>
      <c r="BH126" s="187"/>
      <c r="BI126" s="187"/>
      <c r="BJ126" s="187"/>
      <c r="BK126" s="187"/>
      <c r="BL126" s="187"/>
      <c r="BM126" s="187"/>
      <c r="BN126" s="187"/>
      <c r="BO126" s="187"/>
      <c r="BP126" s="187"/>
    </row>
    <row r="127" spans="1:68">
      <c r="A127" t="s">
        <v>432</v>
      </c>
      <c r="B127" t="s">
        <v>31</v>
      </c>
      <c r="C127" s="192">
        <v>1</v>
      </c>
      <c r="D127" s="192">
        <v>4</v>
      </c>
      <c r="E127" t="s">
        <v>30</v>
      </c>
      <c r="F127" t="s">
        <v>63</v>
      </c>
      <c r="G127" t="s">
        <v>37</v>
      </c>
      <c r="H127" t="s">
        <v>55</v>
      </c>
      <c r="I127" t="s">
        <v>56</v>
      </c>
      <c r="J127" t="s">
        <v>40</v>
      </c>
      <c r="K127" s="194">
        <v>46204</v>
      </c>
      <c r="L127" s="194">
        <v>46385</v>
      </c>
      <c r="M127" t="s">
        <v>87</v>
      </c>
      <c r="N127" t="s">
        <v>116</v>
      </c>
      <c r="O127" s="188"/>
      <c r="P127" s="188"/>
      <c r="Q127" s="188"/>
      <c r="R127" s="188"/>
      <c r="S127" s="188"/>
      <c r="T127" s="188"/>
      <c r="U127" s="188"/>
      <c r="V127" s="188"/>
      <c r="W127" s="188"/>
      <c r="X127" s="188"/>
      <c r="Y127" s="188"/>
      <c r="Z127" s="188"/>
      <c r="AA127" s="188"/>
      <c r="AB127" s="188"/>
      <c r="AC127" s="188"/>
      <c r="AD127" s="188"/>
      <c r="AE127" s="188"/>
      <c r="AF127" s="188"/>
      <c r="AG127" s="188"/>
      <c r="AH127" s="188"/>
      <c r="AI127" s="188"/>
      <c r="AJ127" s="188"/>
      <c r="AK127" s="188"/>
      <c r="AL127" s="188"/>
      <c r="AM127" s="187"/>
      <c r="AN127" s="187"/>
      <c r="AO127" s="187"/>
      <c r="AP127" s="187"/>
      <c r="AQ127" s="187"/>
      <c r="AR127" s="187"/>
      <c r="AS127" s="187"/>
      <c r="AT127" s="187"/>
      <c r="AU127" s="187"/>
      <c r="AV127" s="187"/>
      <c r="AW127" s="187"/>
      <c r="AX127" s="187"/>
      <c r="AY127" s="187"/>
      <c r="AZ127" s="187"/>
      <c r="BA127" s="187"/>
      <c r="BB127" s="187"/>
      <c r="BC127" s="187"/>
      <c r="BD127" s="187"/>
      <c r="BE127" s="187"/>
      <c r="BF127" s="187"/>
      <c r="BG127" s="187"/>
      <c r="BH127" s="187"/>
      <c r="BI127" s="187"/>
      <c r="BJ127" s="187"/>
      <c r="BK127" s="187"/>
      <c r="BL127" s="187"/>
      <c r="BM127" s="187"/>
      <c r="BN127" s="187"/>
      <c r="BO127" s="187"/>
      <c r="BP127" s="187"/>
    </row>
    <row r="128" spans="1:68">
      <c r="A128" t="s">
        <v>433</v>
      </c>
      <c r="B128" t="s">
        <v>31</v>
      </c>
      <c r="C128" s="192">
        <v>1</v>
      </c>
      <c r="D128" s="192">
        <v>6</v>
      </c>
      <c r="E128" t="s">
        <v>47</v>
      </c>
      <c r="F128" t="s">
        <v>49</v>
      </c>
      <c r="G128" t="s">
        <v>37</v>
      </c>
      <c r="H128" t="s">
        <v>38</v>
      </c>
      <c r="I128" t="s">
        <v>50</v>
      </c>
      <c r="J128" t="s">
        <v>40</v>
      </c>
      <c r="K128" s="194">
        <v>46174</v>
      </c>
      <c r="L128" s="194">
        <v>46440</v>
      </c>
      <c r="M128" t="s">
        <v>93</v>
      </c>
      <c r="N128" t="s">
        <v>116</v>
      </c>
      <c r="O128" s="188"/>
      <c r="P128" s="188"/>
      <c r="Q128" s="188"/>
      <c r="R128" s="188"/>
      <c r="S128" s="188"/>
      <c r="T128" s="188"/>
      <c r="U128" s="188"/>
      <c r="V128" s="188"/>
      <c r="W128" s="188"/>
      <c r="X128" s="188"/>
      <c r="Y128" s="188"/>
      <c r="Z128" s="188"/>
      <c r="AA128" s="188"/>
      <c r="AB128" s="188"/>
      <c r="AC128" s="188"/>
      <c r="AD128" s="188"/>
      <c r="AE128" s="188"/>
      <c r="AF128" s="188"/>
      <c r="AG128" s="188"/>
      <c r="AH128" s="188"/>
      <c r="AI128" s="188"/>
      <c r="AJ128" s="188"/>
      <c r="AK128" s="188"/>
      <c r="AL128" s="188"/>
      <c r="AM128" s="187"/>
      <c r="AN128" s="187"/>
      <c r="AO128" s="187"/>
      <c r="AP128" s="187"/>
      <c r="AQ128" s="187"/>
      <c r="AR128" s="187"/>
      <c r="AS128" s="187"/>
      <c r="AT128" s="187"/>
      <c r="AU128" s="187"/>
      <c r="AV128" s="187"/>
      <c r="AW128" s="187"/>
      <c r="AX128" s="187"/>
      <c r="AY128" s="187"/>
      <c r="AZ128" s="187"/>
      <c r="BA128" s="187"/>
      <c r="BB128" s="187"/>
      <c r="BC128" s="187"/>
      <c r="BD128" s="187"/>
      <c r="BE128" s="187"/>
      <c r="BF128" s="187"/>
      <c r="BG128" s="187"/>
      <c r="BH128" s="187"/>
      <c r="BI128" s="187"/>
      <c r="BJ128" s="187"/>
      <c r="BK128" s="187"/>
      <c r="BL128" s="187"/>
      <c r="BM128" s="187"/>
      <c r="BN128" s="187"/>
      <c r="BO128" s="187"/>
      <c r="BP128" s="187"/>
    </row>
    <row r="129" spans="1:68">
      <c r="A129" t="s">
        <v>436</v>
      </c>
      <c r="B129" t="s">
        <v>71</v>
      </c>
      <c r="C129" s="192">
        <v>1</v>
      </c>
      <c r="D129" s="192">
        <v>3</v>
      </c>
      <c r="E129" t="s">
        <v>30</v>
      </c>
      <c r="F129" t="s">
        <v>63</v>
      </c>
      <c r="G129" t="s">
        <v>37</v>
      </c>
      <c r="H129" t="s">
        <v>151</v>
      </c>
      <c r="I129" t="s">
        <v>439</v>
      </c>
      <c r="J129" t="s">
        <v>167</v>
      </c>
      <c r="K129" s="194">
        <v>46327</v>
      </c>
      <c r="L129" s="194">
        <v>46504</v>
      </c>
      <c r="M129" t="s">
        <v>94</v>
      </c>
      <c r="N129" t="s">
        <v>116</v>
      </c>
      <c r="O129" s="188"/>
      <c r="P129" s="188"/>
      <c r="Q129" s="188"/>
      <c r="R129" s="188"/>
      <c r="S129" s="188"/>
      <c r="T129" s="188"/>
      <c r="U129" s="188"/>
      <c r="V129" s="188"/>
      <c r="W129" s="188"/>
      <c r="X129" s="188"/>
      <c r="Y129" s="188"/>
      <c r="Z129" s="188"/>
      <c r="AA129" s="188"/>
      <c r="AB129" s="188"/>
      <c r="AC129" s="188"/>
      <c r="AD129" s="188"/>
      <c r="AE129" s="188"/>
      <c r="AF129" s="188"/>
      <c r="AG129" s="188"/>
      <c r="AH129" s="188"/>
      <c r="AI129" s="188"/>
      <c r="AJ129" s="188"/>
      <c r="AK129" s="188"/>
      <c r="AL129" s="188"/>
      <c r="AM129" s="187"/>
      <c r="AN129" s="187"/>
      <c r="AO129" s="187"/>
      <c r="AP129" s="187"/>
      <c r="AQ129" s="187"/>
      <c r="AR129" s="187"/>
      <c r="AS129" s="187"/>
      <c r="AT129" s="187"/>
      <c r="AU129" s="187"/>
      <c r="AV129" s="187"/>
      <c r="AW129" s="187"/>
      <c r="AX129" s="187"/>
      <c r="AY129" s="187"/>
      <c r="AZ129" s="187"/>
      <c r="BA129" s="187"/>
      <c r="BB129" s="187"/>
      <c r="BC129" s="187"/>
      <c r="BD129" s="187"/>
      <c r="BE129" s="187"/>
      <c r="BF129" s="187"/>
      <c r="BG129" s="187"/>
      <c r="BH129" s="187"/>
      <c r="BI129" s="187"/>
      <c r="BJ129" s="187"/>
      <c r="BK129" s="187"/>
      <c r="BL129" s="187"/>
      <c r="BM129" s="187"/>
      <c r="BN129" s="187"/>
      <c r="BO129" s="187"/>
      <c r="BP129" s="187"/>
    </row>
    <row r="130" spans="1:68">
      <c r="A130" t="s">
        <v>440</v>
      </c>
      <c r="B130" t="s">
        <v>66</v>
      </c>
      <c r="C130" s="192">
        <v>1</v>
      </c>
      <c r="D130" s="192">
        <v>36</v>
      </c>
      <c r="E130" t="s">
        <v>75</v>
      </c>
      <c r="F130" t="s">
        <v>54</v>
      </c>
      <c r="G130" t="s">
        <v>81</v>
      </c>
      <c r="H130" t="s">
        <v>38</v>
      </c>
      <c r="I130" t="s">
        <v>223</v>
      </c>
      <c r="J130" t="s">
        <v>123</v>
      </c>
      <c r="K130" s="194"/>
      <c r="L130" s="194"/>
      <c r="M130" t="s">
        <v>84</v>
      </c>
      <c r="N130">
        <v>3243</v>
      </c>
      <c r="O130" s="188"/>
      <c r="P130" s="188"/>
      <c r="Q130" s="188"/>
      <c r="R130" s="188"/>
      <c r="S130" s="188"/>
      <c r="T130" s="188"/>
      <c r="U130" s="188"/>
      <c r="V130" s="188"/>
      <c r="W130" s="188"/>
      <c r="X130" s="188"/>
      <c r="Y130" s="188"/>
      <c r="Z130" s="188"/>
      <c r="AA130" s="188"/>
      <c r="AB130" s="188"/>
      <c r="AC130" s="188"/>
      <c r="AD130" s="188"/>
      <c r="AE130" s="188"/>
      <c r="AF130" s="188"/>
      <c r="AG130" s="188"/>
      <c r="AH130" s="188"/>
      <c r="AI130" s="188"/>
      <c r="AJ130" s="188"/>
      <c r="AK130" s="188"/>
      <c r="AL130" s="188"/>
      <c r="AM130" s="187"/>
      <c r="AN130" s="187"/>
      <c r="AO130" s="187"/>
      <c r="AP130" s="187"/>
      <c r="AQ130" s="187"/>
      <c r="AR130" s="187"/>
      <c r="AS130" s="187"/>
      <c r="AT130" s="187"/>
      <c r="AU130" s="187"/>
      <c r="AV130" s="187"/>
      <c r="AW130" s="187"/>
      <c r="AX130" s="187"/>
      <c r="AY130" s="187"/>
      <c r="AZ130" s="187"/>
      <c r="BA130" s="187"/>
      <c r="BB130" s="187"/>
      <c r="BC130" s="187"/>
      <c r="BD130" s="187"/>
      <c r="BE130" s="187"/>
      <c r="BF130" s="187"/>
      <c r="BG130" s="187"/>
      <c r="BH130" s="187"/>
      <c r="BI130" s="187"/>
      <c r="BJ130" s="187"/>
      <c r="BK130" s="187"/>
      <c r="BL130" s="187"/>
      <c r="BM130" s="187"/>
      <c r="BN130" s="187"/>
      <c r="BO130" s="187"/>
      <c r="BP130" s="187"/>
    </row>
    <row r="131" spans="1:68">
      <c r="A131" t="s">
        <v>443</v>
      </c>
      <c r="B131" t="s">
        <v>70</v>
      </c>
      <c r="C131" s="192">
        <v>1</v>
      </c>
      <c r="D131" s="192"/>
      <c r="E131" t="s">
        <v>75</v>
      </c>
      <c r="F131" t="s">
        <v>36</v>
      </c>
      <c r="G131" t="s">
        <v>80</v>
      </c>
      <c r="H131"/>
      <c r="I131"/>
      <c r="J131" t="s">
        <v>167</v>
      </c>
      <c r="K131" s="194"/>
      <c r="L131" s="194"/>
      <c r="M131" t="s">
        <v>84</v>
      </c>
      <c r="N131" t="s">
        <v>116</v>
      </c>
      <c r="O131" s="188"/>
      <c r="P131" s="188"/>
      <c r="Q131" s="188"/>
      <c r="R131" s="188"/>
      <c r="S131" s="188"/>
      <c r="T131" s="188"/>
      <c r="U131" s="188"/>
      <c r="V131" s="188"/>
      <c r="W131" s="188"/>
      <c r="X131" s="188"/>
      <c r="Y131" s="188"/>
      <c r="Z131" s="188"/>
      <c r="AA131" s="188"/>
      <c r="AB131" s="188"/>
      <c r="AC131" s="188"/>
      <c r="AD131" s="188"/>
      <c r="AE131" s="188"/>
      <c r="AF131" s="188"/>
      <c r="AG131" s="188"/>
      <c r="AH131" s="188"/>
      <c r="AI131" s="188"/>
      <c r="AJ131" s="188"/>
      <c r="AK131" s="188"/>
      <c r="AL131" s="188"/>
      <c r="AM131" s="187"/>
      <c r="AN131" s="187"/>
      <c r="AO131" s="187"/>
      <c r="AP131" s="187"/>
      <c r="AQ131" s="187"/>
      <c r="AR131" s="187"/>
      <c r="AS131" s="187"/>
      <c r="AT131" s="187"/>
      <c r="AU131" s="187"/>
      <c r="AV131" s="187"/>
      <c r="AW131" s="187"/>
      <c r="AX131" s="187"/>
      <c r="AY131" s="187"/>
      <c r="AZ131" s="187"/>
      <c r="BA131" s="187"/>
      <c r="BB131" s="187"/>
      <c r="BC131" s="187"/>
      <c r="BD131" s="187"/>
      <c r="BE131" s="187"/>
      <c r="BF131" s="187"/>
      <c r="BG131" s="187"/>
      <c r="BH131" s="187"/>
      <c r="BI131" s="187"/>
      <c r="BJ131" s="187"/>
      <c r="BK131" s="187"/>
      <c r="BL131" s="187"/>
      <c r="BM131" s="187"/>
      <c r="BN131" s="187"/>
      <c r="BO131" s="187"/>
      <c r="BP131" s="187"/>
    </row>
    <row r="132" spans="1:68">
      <c r="A132" t="s">
        <v>447</v>
      </c>
      <c r="B132" t="s">
        <v>70</v>
      </c>
      <c r="C132" s="192">
        <v>1</v>
      </c>
      <c r="D132" s="192"/>
      <c r="E132" t="s">
        <v>75</v>
      </c>
      <c r="F132" t="s">
        <v>36</v>
      </c>
      <c r="G132" t="s">
        <v>80</v>
      </c>
      <c r="H132"/>
      <c r="I132"/>
      <c r="J132" t="s">
        <v>167</v>
      </c>
      <c r="K132" s="194"/>
      <c r="L132" s="194"/>
      <c r="M132" t="s">
        <v>84</v>
      </c>
      <c r="N132" t="s">
        <v>116</v>
      </c>
      <c r="O132" s="188"/>
      <c r="P132" s="188"/>
      <c r="Q132" s="188"/>
      <c r="R132" s="188"/>
      <c r="S132" s="188"/>
      <c r="T132" s="188"/>
      <c r="U132" s="188"/>
      <c r="V132" s="188"/>
      <c r="W132" s="188"/>
      <c r="X132" s="188"/>
      <c r="Y132" s="188"/>
      <c r="Z132" s="188"/>
      <c r="AA132" s="188"/>
      <c r="AB132" s="188"/>
      <c r="AC132" s="188"/>
      <c r="AD132" s="188"/>
      <c r="AE132" s="188"/>
      <c r="AF132" s="188"/>
      <c r="AG132" s="188"/>
      <c r="AH132" s="188"/>
      <c r="AI132" s="188"/>
      <c r="AJ132" s="188"/>
      <c r="AK132" s="188"/>
      <c r="AL132" s="187"/>
      <c r="AM132" s="187"/>
      <c r="AN132" s="187"/>
      <c r="AO132" s="187"/>
      <c r="AP132" s="187"/>
      <c r="AQ132" s="187"/>
      <c r="AR132" s="187"/>
      <c r="AS132" s="187"/>
      <c r="AT132" s="187"/>
      <c r="AU132" s="187"/>
      <c r="AV132" s="187"/>
      <c r="AW132" s="187"/>
      <c r="AX132" s="187"/>
      <c r="AY132" s="187"/>
      <c r="AZ132" s="187"/>
      <c r="BA132" s="187"/>
      <c r="BB132" s="187"/>
      <c r="BC132" s="187"/>
      <c r="BD132" s="187"/>
      <c r="BE132" s="187"/>
      <c r="BF132" s="187"/>
      <c r="BG132" s="187"/>
      <c r="BH132" s="187"/>
      <c r="BI132" s="187"/>
      <c r="BJ132" s="187"/>
      <c r="BK132" s="187"/>
      <c r="BL132" s="187"/>
      <c r="BM132" s="187"/>
      <c r="BN132" s="187"/>
      <c r="BO132" s="187"/>
      <c r="BP132" s="187"/>
    </row>
    <row r="133" spans="1:68">
      <c r="A133" s="187"/>
      <c r="B133" s="187"/>
      <c r="C133" s="191"/>
      <c r="D133" s="191"/>
      <c r="E133" s="187"/>
      <c r="F133" s="187"/>
      <c r="G133" s="187"/>
      <c r="H133" s="187"/>
      <c r="I133" s="187"/>
      <c r="J133" s="187"/>
      <c r="K133" s="191"/>
      <c r="L133" s="191"/>
      <c r="M133" s="188"/>
      <c r="N133" s="188"/>
      <c r="O133" s="188"/>
      <c r="P133" s="188"/>
      <c r="Q133" s="188"/>
      <c r="R133" s="188"/>
      <c r="S133" s="188"/>
      <c r="T133" s="188"/>
      <c r="U133" s="188"/>
      <c r="V133" s="188"/>
      <c r="W133" s="188"/>
      <c r="X133" s="188"/>
      <c r="Y133" s="188"/>
      <c r="Z133" s="188"/>
      <c r="AA133" s="188"/>
      <c r="AB133" s="188"/>
      <c r="AC133" s="188"/>
      <c r="AD133" s="188"/>
      <c r="AE133" s="188"/>
      <c r="AF133" s="188"/>
      <c r="AG133" s="188"/>
      <c r="AH133" s="188"/>
      <c r="AI133" s="188"/>
      <c r="AJ133" s="188"/>
      <c r="AK133" s="187"/>
      <c r="AL133" s="187"/>
      <c r="AM133" s="187"/>
      <c r="AN133" s="187"/>
      <c r="AO133" s="187"/>
      <c r="AP133" s="187"/>
      <c r="AQ133" s="187"/>
      <c r="AR133" s="187"/>
      <c r="AS133" s="187"/>
      <c r="AT133" s="187"/>
      <c r="AU133" s="187"/>
      <c r="AV133" s="187"/>
      <c r="AW133" s="187"/>
      <c r="AX133" s="187"/>
      <c r="AY133" s="187"/>
      <c r="AZ133" s="187"/>
      <c r="BA133" s="187"/>
      <c r="BB133" s="187"/>
      <c r="BC133" s="187"/>
      <c r="BD133" s="187"/>
      <c r="BE133" s="187"/>
      <c r="BF133" s="187"/>
      <c r="BG133" s="187"/>
      <c r="BH133" s="187"/>
      <c r="BI133" s="187"/>
      <c r="BJ133" s="187"/>
      <c r="BK133" s="187"/>
      <c r="BL133" s="187"/>
      <c r="BM133" s="187"/>
      <c r="BN133" s="187"/>
      <c r="BO133" s="187"/>
      <c r="BP133" s="187"/>
    </row>
    <row r="134" spans="1:68">
      <c r="A134" s="187"/>
      <c r="B134" s="187"/>
      <c r="C134" s="191"/>
      <c r="D134" s="191"/>
      <c r="E134" s="187"/>
      <c r="F134" s="187"/>
      <c r="G134" s="187"/>
      <c r="H134" s="187"/>
      <c r="I134" s="187"/>
      <c r="J134" s="187"/>
      <c r="K134" s="191"/>
      <c r="L134" s="191"/>
      <c r="M134" s="188"/>
      <c r="N134" s="188"/>
      <c r="O134" s="188"/>
      <c r="P134" s="188"/>
      <c r="Q134" s="188"/>
      <c r="R134" s="188"/>
      <c r="S134" s="188"/>
      <c r="T134" s="188"/>
      <c r="U134" s="188"/>
      <c r="V134" s="188"/>
      <c r="W134" s="188"/>
      <c r="X134" s="188"/>
      <c r="Y134" s="188"/>
      <c r="Z134" s="188"/>
      <c r="AA134" s="188"/>
      <c r="AB134" s="188"/>
      <c r="AC134" s="188"/>
      <c r="AD134" s="188"/>
      <c r="AE134" s="188"/>
      <c r="AF134" s="188"/>
      <c r="AG134" s="188"/>
      <c r="AH134" s="188"/>
      <c r="AI134" s="188"/>
      <c r="AJ134" s="188"/>
      <c r="AK134" s="187"/>
      <c r="AL134" s="187"/>
      <c r="AM134" s="187"/>
      <c r="AN134" s="187"/>
      <c r="AO134" s="187"/>
      <c r="AP134" s="187"/>
      <c r="AQ134" s="187"/>
      <c r="AR134" s="187"/>
      <c r="AS134" s="187"/>
      <c r="AT134" s="187"/>
      <c r="AU134" s="187"/>
      <c r="AV134" s="187"/>
      <c r="AW134" s="187"/>
      <c r="AX134" s="187"/>
      <c r="AY134" s="187"/>
      <c r="AZ134" s="187"/>
      <c r="BA134" s="187"/>
      <c r="BB134" s="187"/>
      <c r="BC134" s="187"/>
      <c r="BD134" s="187"/>
      <c r="BE134" s="187"/>
      <c r="BF134" s="187"/>
      <c r="BG134" s="187"/>
      <c r="BH134" s="187"/>
      <c r="BI134" s="187"/>
      <c r="BJ134" s="187"/>
      <c r="BK134" s="187"/>
      <c r="BL134" s="187"/>
      <c r="BM134" s="187"/>
      <c r="BN134" s="187"/>
      <c r="BO134" s="187"/>
      <c r="BP134" s="187"/>
    </row>
    <row r="135" spans="1:68">
      <c r="A135" s="187"/>
      <c r="B135" s="187"/>
      <c r="C135" s="191"/>
      <c r="D135" s="191"/>
      <c r="E135" s="187"/>
      <c r="F135" s="187"/>
      <c r="G135" s="187"/>
      <c r="H135" s="187"/>
      <c r="I135" s="187"/>
      <c r="J135" s="187"/>
      <c r="K135" s="191"/>
      <c r="L135" s="191"/>
      <c r="M135" s="188"/>
      <c r="N135" s="187"/>
      <c r="O135" s="187"/>
      <c r="P135" s="187"/>
      <c r="Q135" s="187"/>
      <c r="R135" s="187"/>
      <c r="S135" s="187"/>
      <c r="T135" s="187"/>
      <c r="U135" s="187"/>
      <c r="V135" s="187"/>
      <c r="W135" s="187"/>
      <c r="X135" s="187"/>
      <c r="Y135" s="187"/>
      <c r="Z135" s="187"/>
      <c r="AA135" s="187"/>
      <c r="AB135" s="187"/>
      <c r="AC135" s="187"/>
      <c r="AD135" s="187"/>
      <c r="AE135" s="187"/>
      <c r="AF135" s="187"/>
      <c r="AG135" s="187"/>
      <c r="AH135" s="187"/>
      <c r="AI135" s="187"/>
      <c r="AJ135" s="187"/>
      <c r="AK135" s="187"/>
      <c r="AL135" s="187"/>
      <c r="AM135" s="187"/>
      <c r="AN135" s="187"/>
      <c r="AO135" s="187"/>
      <c r="AP135" s="187"/>
      <c r="AQ135" s="187"/>
      <c r="AR135" s="187"/>
      <c r="AS135" s="187"/>
      <c r="AT135" s="187"/>
      <c r="AU135" s="187"/>
      <c r="AV135" s="187"/>
      <c r="AW135" s="187"/>
      <c r="AX135" s="187"/>
      <c r="AY135" s="187"/>
      <c r="AZ135" s="187"/>
      <c r="BA135" s="187"/>
      <c r="BB135" s="187"/>
      <c r="BC135" s="187"/>
      <c r="BD135" s="187"/>
      <c r="BE135" s="187"/>
      <c r="BF135" s="187"/>
      <c r="BG135" s="187"/>
      <c r="BH135" s="187"/>
      <c r="BI135" s="187"/>
      <c r="BJ135" s="187"/>
      <c r="BK135" s="187"/>
      <c r="BL135" s="187"/>
      <c r="BM135" s="187"/>
      <c r="BN135" s="187"/>
      <c r="BO135" s="187"/>
      <c r="BP135" s="187"/>
    </row>
    <row r="136" spans="1:68">
      <c r="A136" s="187"/>
      <c r="B136" s="187"/>
      <c r="C136" s="191"/>
      <c r="D136" s="191"/>
      <c r="E136" s="187"/>
      <c r="F136" s="187"/>
      <c r="G136" s="187"/>
      <c r="H136" s="187"/>
      <c r="I136" s="187"/>
      <c r="J136" s="187"/>
      <c r="K136" s="191"/>
      <c r="L136" s="191"/>
      <c r="M136" s="187"/>
      <c r="N136" s="187"/>
      <c r="O136" s="187"/>
      <c r="P136" s="187"/>
      <c r="Q136" s="187"/>
      <c r="R136" s="187"/>
      <c r="S136" s="187"/>
      <c r="T136" s="187"/>
      <c r="U136" s="187"/>
      <c r="V136" s="187"/>
      <c r="W136" s="187"/>
      <c r="X136" s="187"/>
      <c r="Y136" s="187"/>
      <c r="Z136" s="187"/>
      <c r="AA136" s="187"/>
      <c r="AB136" s="187"/>
      <c r="AC136" s="187"/>
      <c r="AD136" s="187"/>
      <c r="AE136" s="187"/>
      <c r="AF136" s="187"/>
      <c r="AG136" s="187"/>
      <c r="AH136" s="187"/>
      <c r="AI136" s="187"/>
      <c r="AJ136" s="187"/>
      <c r="AK136" s="187"/>
      <c r="AL136" s="187"/>
      <c r="AM136" s="187"/>
      <c r="AN136" s="187"/>
      <c r="AO136" s="187"/>
      <c r="AP136" s="187"/>
      <c r="AQ136" s="187"/>
      <c r="AR136" s="187"/>
      <c r="AS136" s="187"/>
      <c r="AT136" s="187"/>
      <c r="AU136" s="187"/>
      <c r="AV136" s="187"/>
      <c r="AW136" s="187"/>
      <c r="AX136" s="187"/>
      <c r="AY136" s="187"/>
      <c r="AZ136" s="187"/>
      <c r="BA136" s="187"/>
      <c r="BB136" s="187"/>
      <c r="BC136" s="187"/>
      <c r="BD136" s="187"/>
      <c r="BE136" s="187"/>
      <c r="BF136" s="187"/>
      <c r="BG136" s="187"/>
      <c r="BH136" s="187"/>
      <c r="BI136" s="187"/>
      <c r="BJ136" s="187"/>
      <c r="BK136" s="187"/>
      <c r="BL136" s="187"/>
      <c r="BM136" s="187"/>
      <c r="BN136" s="187"/>
      <c r="BO136" s="187"/>
      <c r="BP136" s="187"/>
    </row>
    <row r="137" spans="1:68">
      <c r="A137" s="187"/>
      <c r="B137" s="187"/>
      <c r="C137" s="191"/>
      <c r="D137" s="191"/>
      <c r="E137" s="187"/>
      <c r="F137" s="187"/>
      <c r="G137" s="187"/>
      <c r="H137" s="187"/>
      <c r="I137" s="187"/>
      <c r="J137" s="187"/>
      <c r="K137" s="191"/>
      <c r="L137" s="191"/>
      <c r="M137" s="187"/>
      <c r="N137" s="187"/>
      <c r="O137" s="187"/>
      <c r="P137" s="187"/>
      <c r="Q137" s="187"/>
      <c r="R137" s="187"/>
      <c r="S137" s="187"/>
      <c r="T137" s="187"/>
      <c r="U137" s="187"/>
      <c r="V137" s="187"/>
      <c r="W137" s="187"/>
      <c r="X137" s="187"/>
      <c r="Y137" s="187"/>
      <c r="Z137" s="187"/>
      <c r="AA137" s="187"/>
      <c r="AB137" s="187"/>
      <c r="AC137" s="187"/>
      <c r="AD137" s="187"/>
      <c r="AE137" s="187"/>
      <c r="AF137" s="187"/>
      <c r="AG137" s="187"/>
      <c r="AH137" s="187"/>
      <c r="AI137" s="187"/>
      <c r="AJ137" s="187"/>
      <c r="AK137" s="187"/>
      <c r="AL137" s="187"/>
      <c r="AM137" s="187"/>
      <c r="AN137" s="187"/>
      <c r="AO137" s="187"/>
      <c r="AP137" s="187"/>
      <c r="AQ137" s="187"/>
      <c r="AR137" s="187"/>
      <c r="AS137" s="187"/>
      <c r="AT137" s="187"/>
      <c r="AU137" s="187"/>
      <c r="AV137" s="187"/>
      <c r="AW137" s="187"/>
      <c r="AX137" s="187"/>
      <c r="AY137" s="187"/>
      <c r="AZ137" s="187"/>
      <c r="BA137" s="187"/>
      <c r="BB137" s="187"/>
      <c r="BC137" s="187"/>
      <c r="BD137" s="187"/>
      <c r="BE137" s="187"/>
      <c r="BF137" s="187"/>
      <c r="BG137" s="187"/>
      <c r="BH137" s="187"/>
      <c r="BI137" s="187"/>
      <c r="BJ137" s="187"/>
      <c r="BK137" s="187"/>
      <c r="BL137" s="187"/>
      <c r="BM137" s="187"/>
      <c r="BN137" s="187"/>
      <c r="BO137" s="187"/>
      <c r="BP137" s="187"/>
    </row>
    <row r="138" spans="1:68">
      <c r="A138" s="187"/>
      <c r="B138" s="187"/>
      <c r="C138" s="191"/>
      <c r="D138" s="191"/>
      <c r="E138" s="187"/>
      <c r="F138" s="187"/>
      <c r="G138" s="187"/>
      <c r="H138" s="187"/>
      <c r="I138" s="187"/>
      <c r="J138" s="187"/>
      <c r="K138" s="191"/>
      <c r="L138" s="191"/>
      <c r="M138" s="187"/>
      <c r="N138" s="187"/>
      <c r="O138" s="187"/>
      <c r="P138" s="187"/>
      <c r="Q138" s="187"/>
      <c r="R138" s="187"/>
      <c r="S138" s="187"/>
      <c r="T138" s="187"/>
      <c r="U138" s="187"/>
      <c r="V138" s="187"/>
      <c r="W138" s="187"/>
      <c r="X138" s="187"/>
      <c r="Y138" s="187"/>
      <c r="Z138" s="187"/>
      <c r="AA138" s="187"/>
      <c r="AB138" s="187"/>
      <c r="AC138" s="187"/>
      <c r="AD138" s="187"/>
      <c r="AE138" s="187"/>
      <c r="AF138" s="187"/>
      <c r="AG138" s="187"/>
      <c r="AH138" s="187"/>
      <c r="AI138" s="187"/>
      <c r="AJ138" s="187"/>
      <c r="AK138" s="187"/>
      <c r="AL138" s="187"/>
      <c r="AM138" s="187"/>
      <c r="AN138" s="187"/>
      <c r="AO138" s="187"/>
      <c r="AP138" s="187"/>
      <c r="AQ138" s="187"/>
      <c r="AR138" s="187"/>
      <c r="AS138" s="187"/>
      <c r="AT138" s="187"/>
      <c r="AU138" s="187"/>
      <c r="AV138" s="187"/>
      <c r="AW138" s="187"/>
      <c r="AX138" s="187"/>
      <c r="AY138" s="187"/>
      <c r="AZ138" s="187"/>
      <c r="BA138" s="187"/>
      <c r="BB138" s="187"/>
      <c r="BC138" s="187"/>
      <c r="BD138" s="187"/>
      <c r="BE138" s="187"/>
      <c r="BF138" s="187"/>
      <c r="BG138" s="187"/>
      <c r="BH138" s="187"/>
      <c r="BI138" s="187"/>
      <c r="BJ138" s="187"/>
      <c r="BK138" s="187"/>
      <c r="BL138" s="187"/>
      <c r="BM138" s="187"/>
      <c r="BN138" s="187"/>
      <c r="BO138" s="187"/>
      <c r="BP138" s="187"/>
    </row>
    <row r="139" spans="1:68">
      <c r="A139" s="187"/>
      <c r="B139" s="187"/>
      <c r="C139" s="191"/>
      <c r="D139" s="191"/>
      <c r="E139" s="187"/>
      <c r="F139" s="187"/>
      <c r="G139" s="187"/>
      <c r="H139" s="187"/>
      <c r="I139" s="187"/>
      <c r="J139" s="187"/>
      <c r="K139" s="191"/>
      <c r="L139" s="191"/>
      <c r="M139" s="187"/>
      <c r="N139" s="187"/>
      <c r="O139" s="187"/>
      <c r="P139" s="187"/>
      <c r="Q139" s="187"/>
      <c r="R139" s="187"/>
      <c r="S139" s="187"/>
      <c r="T139" s="187"/>
      <c r="U139" s="187"/>
      <c r="V139" s="187"/>
      <c r="W139" s="187"/>
      <c r="X139" s="187"/>
      <c r="Y139" s="187"/>
      <c r="Z139" s="187"/>
      <c r="AA139" s="187"/>
      <c r="AB139" s="187"/>
      <c r="AC139" s="187"/>
      <c r="AD139" s="187"/>
      <c r="AE139" s="187"/>
      <c r="AF139" s="187"/>
      <c r="AG139" s="187"/>
      <c r="AH139" s="187"/>
      <c r="AI139" s="187"/>
      <c r="AJ139" s="187"/>
      <c r="AK139" s="187"/>
      <c r="AL139" s="187"/>
      <c r="AM139" s="187"/>
      <c r="AN139" s="187"/>
      <c r="AO139" s="187"/>
      <c r="AP139" s="187"/>
      <c r="AQ139" s="187"/>
      <c r="AR139" s="187"/>
      <c r="AS139" s="187"/>
      <c r="AT139" s="187"/>
      <c r="AU139" s="187"/>
      <c r="AV139" s="187"/>
      <c r="AW139" s="187"/>
      <c r="AX139" s="187"/>
      <c r="AY139" s="187"/>
      <c r="AZ139" s="187"/>
      <c r="BA139" s="187"/>
      <c r="BB139" s="187"/>
      <c r="BC139" s="187"/>
      <c r="BD139" s="187"/>
      <c r="BE139" s="187"/>
      <c r="BF139" s="187"/>
      <c r="BG139" s="187"/>
      <c r="BH139" s="187"/>
      <c r="BI139" s="187"/>
      <c r="BJ139" s="187"/>
      <c r="BK139" s="187"/>
      <c r="BL139" s="187"/>
      <c r="BM139" s="187"/>
      <c r="BN139" s="187"/>
      <c r="BO139" s="187"/>
      <c r="BP139" s="187"/>
    </row>
    <row r="140" spans="1:68">
      <c r="A140" s="187"/>
      <c r="B140" s="187"/>
      <c r="C140" s="191"/>
      <c r="D140" s="191"/>
      <c r="E140" s="187"/>
      <c r="F140" s="187"/>
      <c r="G140" s="187"/>
      <c r="H140" s="187"/>
      <c r="I140" s="187"/>
      <c r="J140" s="187"/>
      <c r="K140" s="191"/>
      <c r="L140" s="191"/>
      <c r="M140" s="187"/>
      <c r="N140" s="187"/>
      <c r="O140" s="187"/>
      <c r="P140" s="187"/>
      <c r="Q140" s="187"/>
      <c r="R140" s="187"/>
      <c r="S140" s="187"/>
      <c r="T140" s="187"/>
      <c r="U140" s="187"/>
      <c r="V140" s="187"/>
      <c r="W140" s="187"/>
      <c r="X140" s="187"/>
      <c r="Y140" s="187"/>
      <c r="Z140" s="187"/>
      <c r="AA140" s="187"/>
      <c r="AB140" s="187"/>
      <c r="AC140" s="187"/>
      <c r="AD140" s="187"/>
      <c r="AE140" s="187"/>
      <c r="AF140" s="187"/>
      <c r="AG140" s="187"/>
      <c r="AH140" s="187"/>
      <c r="AI140" s="187"/>
      <c r="AJ140" s="187"/>
      <c r="AK140" s="187"/>
      <c r="AL140" s="187"/>
      <c r="AM140" s="187"/>
      <c r="AN140" s="187"/>
      <c r="AO140" s="187"/>
      <c r="AP140" s="187"/>
      <c r="AQ140" s="187"/>
      <c r="AR140" s="187"/>
      <c r="AS140" s="187"/>
      <c r="AT140" s="187"/>
      <c r="AU140" s="187"/>
      <c r="AV140" s="187"/>
      <c r="AW140" s="187"/>
      <c r="AX140" s="187"/>
      <c r="AY140" s="187"/>
      <c r="AZ140" s="187"/>
      <c r="BA140" s="187"/>
      <c r="BB140" s="187"/>
      <c r="BC140" s="187"/>
      <c r="BD140" s="187"/>
      <c r="BE140" s="187"/>
      <c r="BF140" s="187"/>
      <c r="BG140" s="187"/>
      <c r="BH140" s="187"/>
      <c r="BI140" s="187"/>
      <c r="BJ140" s="187"/>
      <c r="BK140" s="187"/>
      <c r="BL140" s="187"/>
      <c r="BM140" s="187"/>
      <c r="BN140" s="187"/>
      <c r="BO140" s="187"/>
      <c r="BP140" s="187"/>
    </row>
    <row r="141" spans="1:68">
      <c r="A141" s="187"/>
      <c r="B141" s="187"/>
      <c r="C141" s="191"/>
      <c r="D141" s="191"/>
      <c r="E141" s="187"/>
      <c r="F141" s="187"/>
      <c r="G141" s="187"/>
      <c r="H141" s="187"/>
      <c r="I141" s="187"/>
      <c r="J141" s="187"/>
      <c r="K141" s="191"/>
      <c r="L141" s="191"/>
      <c r="M141" s="187"/>
      <c r="N141" s="187"/>
      <c r="O141" s="187"/>
      <c r="P141" s="187"/>
      <c r="Q141" s="187"/>
      <c r="R141" s="187"/>
      <c r="S141" s="187"/>
      <c r="T141" s="187"/>
      <c r="U141" s="187"/>
      <c r="V141" s="187"/>
      <c r="W141" s="187"/>
      <c r="X141" s="187"/>
      <c r="Y141" s="187"/>
      <c r="Z141" s="187"/>
      <c r="AA141" s="187"/>
      <c r="AB141" s="187"/>
      <c r="AC141" s="187"/>
      <c r="AD141" s="187"/>
      <c r="AE141" s="187"/>
      <c r="AF141" s="187"/>
      <c r="AG141" s="187"/>
      <c r="AH141" s="187"/>
      <c r="AI141" s="187"/>
      <c r="AJ141" s="187"/>
      <c r="AK141" s="187"/>
      <c r="AL141" s="187"/>
      <c r="AM141" s="187"/>
      <c r="AN141" s="187"/>
      <c r="AO141" s="187"/>
      <c r="AP141" s="187"/>
      <c r="AQ141" s="187"/>
      <c r="AR141" s="187"/>
      <c r="AS141" s="187"/>
      <c r="AT141" s="187"/>
      <c r="AU141" s="187"/>
      <c r="AV141" s="187"/>
      <c r="AW141" s="187"/>
      <c r="AX141" s="187"/>
      <c r="AY141" s="187"/>
      <c r="AZ141" s="187"/>
      <c r="BA141" s="187"/>
      <c r="BB141" s="187"/>
      <c r="BC141" s="187"/>
      <c r="BD141" s="187"/>
      <c r="BE141" s="187"/>
      <c r="BF141" s="187"/>
      <c r="BG141" s="187"/>
      <c r="BH141" s="187"/>
      <c r="BI141" s="187"/>
      <c r="BJ141" s="187"/>
      <c r="BK141" s="187"/>
      <c r="BL141" s="187"/>
      <c r="BM141" s="187"/>
      <c r="BN141" s="187"/>
      <c r="BO141" s="187"/>
      <c r="BP141" s="187"/>
    </row>
    <row r="142" spans="1:68">
      <c r="A142" s="187"/>
      <c r="B142" s="187"/>
      <c r="C142" s="191"/>
      <c r="D142" s="191"/>
      <c r="E142" s="187"/>
      <c r="F142" s="187"/>
      <c r="G142" s="187"/>
      <c r="H142" s="187"/>
      <c r="I142" s="187"/>
      <c r="J142" s="187"/>
      <c r="K142" s="191"/>
      <c r="L142" s="191"/>
      <c r="M142" s="187"/>
      <c r="N142" s="187"/>
      <c r="O142" s="187"/>
      <c r="P142" s="187"/>
      <c r="Q142" s="187"/>
      <c r="R142" s="187"/>
      <c r="S142" s="187"/>
      <c r="T142" s="187"/>
      <c r="U142" s="187"/>
      <c r="V142" s="187"/>
      <c r="W142" s="187"/>
      <c r="X142" s="187"/>
      <c r="Y142" s="187"/>
      <c r="Z142" s="187"/>
      <c r="AA142" s="187"/>
      <c r="AB142" s="187"/>
      <c r="AC142" s="187"/>
      <c r="AD142" s="187"/>
      <c r="AE142" s="187"/>
      <c r="AF142" s="187"/>
      <c r="AG142" s="187"/>
      <c r="AH142" s="187"/>
      <c r="AI142" s="187"/>
      <c r="AJ142" s="187"/>
      <c r="AK142" s="187"/>
      <c r="AL142" s="187"/>
      <c r="AM142" s="187"/>
      <c r="AN142" s="187"/>
      <c r="AO142" s="187"/>
      <c r="AP142" s="187"/>
      <c r="AQ142" s="187"/>
      <c r="AR142" s="187"/>
      <c r="AS142" s="187"/>
      <c r="AT142" s="187"/>
      <c r="AU142" s="187"/>
      <c r="AV142" s="187"/>
      <c r="AW142" s="187"/>
      <c r="AX142" s="187"/>
      <c r="AY142" s="187"/>
      <c r="AZ142" s="187"/>
      <c r="BA142" s="187"/>
      <c r="BB142" s="187"/>
      <c r="BC142" s="187"/>
      <c r="BD142" s="187"/>
      <c r="BE142" s="187"/>
      <c r="BF142" s="187"/>
      <c r="BG142" s="187"/>
      <c r="BH142" s="187"/>
      <c r="BI142" s="187"/>
      <c r="BJ142" s="187"/>
      <c r="BK142" s="187"/>
      <c r="BL142" s="187"/>
      <c r="BM142" s="187"/>
      <c r="BN142" s="187"/>
      <c r="BO142" s="187"/>
      <c r="BP142" s="187"/>
    </row>
    <row r="143" spans="1:68">
      <c r="A143" s="187"/>
      <c r="B143" s="187"/>
      <c r="C143" s="191"/>
      <c r="D143" s="191"/>
      <c r="E143" s="187"/>
      <c r="F143" s="187"/>
      <c r="G143" s="187"/>
      <c r="H143" s="187"/>
      <c r="I143" s="187"/>
      <c r="J143" s="187"/>
      <c r="K143" s="191"/>
      <c r="L143" s="191"/>
      <c r="M143" s="187"/>
      <c r="N143" s="187"/>
      <c r="O143" s="187"/>
      <c r="P143" s="187"/>
      <c r="Q143" s="187"/>
      <c r="R143" s="187"/>
      <c r="S143" s="187"/>
      <c r="T143" s="187"/>
      <c r="U143" s="187"/>
      <c r="V143" s="187"/>
      <c r="W143" s="187"/>
      <c r="X143" s="187"/>
      <c r="Y143" s="187"/>
      <c r="Z143" s="187"/>
      <c r="AA143" s="187"/>
      <c r="AB143" s="187"/>
      <c r="AC143" s="187"/>
      <c r="AD143" s="187"/>
      <c r="AE143" s="187"/>
      <c r="AF143" s="187"/>
      <c r="AG143" s="187"/>
      <c r="AH143" s="187"/>
      <c r="AI143" s="187"/>
      <c r="AJ143" s="187"/>
      <c r="AK143" s="187"/>
      <c r="AL143" s="187"/>
      <c r="AM143" s="187"/>
      <c r="AN143" s="187"/>
      <c r="AO143" s="187"/>
      <c r="AP143" s="187"/>
      <c r="AQ143" s="187"/>
      <c r="AR143" s="187"/>
      <c r="AS143" s="187"/>
      <c r="AT143" s="187"/>
      <c r="AU143" s="187"/>
      <c r="AV143" s="187"/>
      <c r="AW143" s="187"/>
      <c r="AX143" s="187"/>
      <c r="AY143" s="187"/>
      <c r="AZ143" s="187"/>
      <c r="BA143" s="187"/>
      <c r="BB143" s="187"/>
      <c r="BC143" s="187"/>
      <c r="BD143" s="187"/>
      <c r="BE143" s="187"/>
      <c r="BF143" s="187"/>
      <c r="BG143" s="187"/>
      <c r="BH143" s="187"/>
      <c r="BI143" s="187"/>
      <c r="BJ143" s="187"/>
      <c r="BK143" s="187"/>
      <c r="BL143" s="187"/>
      <c r="BM143" s="187"/>
      <c r="BN143" s="187"/>
      <c r="BO143" s="187"/>
      <c r="BP143" s="187"/>
    </row>
    <row r="144" spans="1:68">
      <c r="A144" s="187"/>
      <c r="B144" s="187"/>
      <c r="C144" s="191"/>
      <c r="D144" s="191"/>
      <c r="E144" s="187"/>
      <c r="F144" s="187"/>
      <c r="G144" s="187"/>
      <c r="H144" s="187"/>
      <c r="I144" s="187"/>
      <c r="J144" s="187"/>
      <c r="K144" s="191"/>
      <c r="L144" s="191"/>
      <c r="M144" s="187"/>
      <c r="N144" s="187"/>
      <c r="O144" s="187"/>
      <c r="P144" s="187"/>
      <c r="Q144" s="187"/>
      <c r="R144" s="187"/>
      <c r="S144" s="187"/>
      <c r="T144" s="187"/>
      <c r="U144" s="187"/>
      <c r="V144" s="187"/>
      <c r="W144" s="187"/>
      <c r="X144" s="187"/>
      <c r="Y144" s="187"/>
      <c r="Z144" s="187"/>
      <c r="AA144" s="187"/>
      <c r="AB144" s="187"/>
      <c r="AC144" s="187"/>
      <c r="AD144" s="187"/>
      <c r="AE144" s="187"/>
      <c r="AF144" s="187"/>
      <c r="AG144" s="187"/>
      <c r="AH144" s="187"/>
      <c r="AI144" s="187"/>
      <c r="AJ144" s="187"/>
      <c r="AK144" s="187"/>
      <c r="AL144" s="187"/>
      <c r="AM144" s="187"/>
      <c r="AN144" s="187"/>
      <c r="AO144" s="187"/>
      <c r="AP144" s="187"/>
      <c r="AQ144" s="187"/>
      <c r="AR144" s="187"/>
      <c r="AS144" s="187"/>
      <c r="AT144" s="187"/>
      <c r="AU144" s="187"/>
      <c r="AV144" s="187"/>
      <c r="AW144" s="187"/>
      <c r="AX144" s="187"/>
      <c r="AY144" s="187"/>
      <c r="AZ144" s="187"/>
      <c r="BA144" s="187"/>
      <c r="BB144" s="187"/>
      <c r="BC144" s="187"/>
      <c r="BD144" s="187"/>
      <c r="BE144" s="187"/>
      <c r="BF144" s="187"/>
      <c r="BG144" s="187"/>
      <c r="BH144" s="187"/>
      <c r="BI144" s="187"/>
      <c r="BJ144" s="187"/>
      <c r="BK144" s="187"/>
      <c r="BL144" s="187"/>
      <c r="BM144" s="187"/>
      <c r="BN144" s="187"/>
      <c r="BO144" s="187"/>
      <c r="BP144" s="187"/>
    </row>
    <row r="145" spans="1:66">
      <c r="A145" s="187"/>
      <c r="B145" s="187"/>
      <c r="C145" s="191"/>
      <c r="D145" s="191"/>
      <c r="E145" s="187"/>
      <c r="F145" s="187"/>
      <c r="G145" s="187"/>
      <c r="H145" s="187"/>
      <c r="I145" s="187"/>
      <c r="J145" s="187"/>
      <c r="K145" s="191"/>
      <c r="L145" s="191"/>
      <c r="M145" s="187"/>
      <c r="N145" s="187"/>
      <c r="O145" s="187"/>
      <c r="P145" s="187"/>
      <c r="Q145" s="187"/>
      <c r="R145" s="187"/>
      <c r="S145" s="187"/>
      <c r="T145" s="187"/>
      <c r="U145" s="187"/>
      <c r="V145" s="187"/>
      <c r="W145" s="187"/>
      <c r="X145" s="187"/>
      <c r="Y145" s="187"/>
      <c r="Z145" s="187"/>
      <c r="AA145" s="187"/>
      <c r="AB145" s="187"/>
      <c r="AC145" s="187"/>
      <c r="AD145" s="187"/>
      <c r="AE145" s="187"/>
      <c r="AF145" s="187"/>
      <c r="AG145" s="187"/>
      <c r="AH145" s="187"/>
      <c r="AI145" s="187"/>
      <c r="AJ145" s="187"/>
      <c r="AK145" s="187"/>
      <c r="AL145" s="187"/>
      <c r="AM145" s="187"/>
      <c r="AN145" s="187"/>
      <c r="AO145" s="187"/>
      <c r="AP145" s="187"/>
      <c r="AQ145" s="187"/>
      <c r="AR145" s="187"/>
      <c r="AS145" s="187"/>
      <c r="AT145" s="187"/>
      <c r="AU145" s="187"/>
      <c r="AV145" s="187"/>
      <c r="AW145" s="187"/>
      <c r="AX145" s="187"/>
      <c r="AY145" s="187"/>
      <c r="AZ145" s="187"/>
      <c r="BA145" s="187"/>
      <c r="BB145" s="187"/>
      <c r="BC145" s="187"/>
      <c r="BD145" s="187"/>
      <c r="BE145" s="187"/>
      <c r="BF145" s="187"/>
      <c r="BG145" s="187"/>
      <c r="BH145" s="187"/>
      <c r="BI145" s="187"/>
      <c r="BJ145" s="187"/>
      <c r="BK145" s="187"/>
      <c r="BL145" s="187"/>
      <c r="BM145" s="187"/>
      <c r="BN145" s="187"/>
    </row>
    <row r="146" spans="1:66">
      <c r="A146" s="187"/>
      <c r="B146" s="187"/>
      <c r="C146" s="191"/>
      <c r="D146" s="191"/>
      <c r="E146" s="187"/>
      <c r="F146" s="187"/>
      <c r="G146" s="187"/>
      <c r="H146" s="187"/>
      <c r="I146" s="187"/>
      <c r="J146" s="187"/>
      <c r="K146" s="191"/>
      <c r="L146" s="191"/>
      <c r="M146" s="187"/>
      <c r="N146" s="187"/>
      <c r="O146" s="187"/>
      <c r="P146" s="187"/>
      <c r="Q146" s="187"/>
      <c r="R146" s="187"/>
      <c r="S146" s="187"/>
      <c r="T146" s="187"/>
      <c r="U146" s="187"/>
      <c r="V146" s="187"/>
      <c r="W146" s="187"/>
      <c r="X146" s="187"/>
      <c r="Y146" s="187"/>
      <c r="Z146" s="187"/>
      <c r="AA146" s="187"/>
      <c r="AB146" s="187"/>
      <c r="AC146" s="187"/>
      <c r="AD146" s="187"/>
      <c r="AE146" s="187"/>
      <c r="AF146" s="187"/>
      <c r="AG146" s="187"/>
      <c r="AH146" s="187"/>
      <c r="AI146" s="187"/>
      <c r="AJ146" s="187"/>
      <c r="AK146" s="187"/>
      <c r="AL146" s="187"/>
      <c r="AM146" s="187"/>
      <c r="AN146" s="187"/>
      <c r="AO146" s="187"/>
      <c r="AP146" s="187"/>
      <c r="AQ146" s="187"/>
      <c r="AR146" s="187"/>
      <c r="AS146" s="187"/>
      <c r="AT146" s="187"/>
      <c r="AU146" s="187"/>
      <c r="AV146" s="187"/>
      <c r="AW146" s="187"/>
      <c r="AX146" s="187"/>
      <c r="AY146" s="187"/>
      <c r="AZ146" s="187"/>
      <c r="BA146" s="187"/>
      <c r="BB146" s="187"/>
      <c r="BC146" s="187"/>
      <c r="BD146" s="187"/>
      <c r="BE146" s="187"/>
      <c r="BF146" s="187"/>
      <c r="BG146" s="187"/>
      <c r="BH146" s="187"/>
      <c r="BI146" s="187"/>
      <c r="BJ146" s="187"/>
      <c r="BK146" s="187"/>
      <c r="BL146" s="187"/>
      <c r="BM146" s="187"/>
      <c r="BN146" s="187"/>
    </row>
    <row r="147" spans="1:66">
      <c r="A147" s="187"/>
      <c r="B147" s="187"/>
      <c r="C147" s="191"/>
      <c r="D147" s="191"/>
      <c r="E147" s="187"/>
      <c r="F147" s="187"/>
      <c r="G147" s="187"/>
      <c r="H147" s="187"/>
      <c r="I147" s="187"/>
      <c r="J147" s="187"/>
      <c r="K147" s="191"/>
      <c r="L147" s="191"/>
      <c r="M147" s="187"/>
      <c r="N147" s="187"/>
      <c r="O147" s="187"/>
      <c r="P147" s="187"/>
      <c r="Q147" s="187"/>
      <c r="R147" s="187"/>
      <c r="S147" s="187"/>
      <c r="T147" s="187"/>
      <c r="U147" s="187"/>
      <c r="V147" s="187"/>
      <c r="W147" s="187"/>
      <c r="X147" s="187"/>
      <c r="Y147" s="187"/>
      <c r="Z147" s="187"/>
      <c r="AA147" s="187"/>
      <c r="AB147" s="187"/>
      <c r="AC147" s="187"/>
      <c r="AD147" s="187"/>
      <c r="AE147" s="187"/>
      <c r="AF147" s="187"/>
      <c r="AG147" s="187"/>
      <c r="AH147" s="187"/>
      <c r="AI147" s="187"/>
      <c r="AJ147" s="187"/>
      <c r="AK147" s="187"/>
      <c r="AL147" s="187"/>
      <c r="AM147" s="187"/>
      <c r="AN147" s="187"/>
      <c r="AO147" s="187"/>
      <c r="AP147" s="187"/>
      <c r="AQ147" s="187"/>
      <c r="AR147" s="187"/>
      <c r="AS147" s="187"/>
      <c r="AT147" s="187"/>
      <c r="AU147" s="187"/>
      <c r="AV147" s="187"/>
      <c r="AW147" s="187"/>
      <c r="AX147" s="187"/>
      <c r="AY147" s="187"/>
      <c r="AZ147" s="187"/>
      <c r="BA147" s="187"/>
      <c r="BB147" s="187"/>
      <c r="BC147" s="187"/>
      <c r="BD147" s="187"/>
      <c r="BE147" s="187"/>
      <c r="BF147" s="187"/>
      <c r="BG147" s="187"/>
      <c r="BH147" s="187"/>
      <c r="BI147" s="187"/>
      <c r="BJ147" s="187"/>
      <c r="BK147" s="187"/>
      <c r="BL147" s="187"/>
      <c r="BM147" s="187"/>
      <c r="BN147" s="187"/>
    </row>
    <row r="148" spans="1:66">
      <c r="A148" s="187"/>
      <c r="B148" s="187"/>
      <c r="C148" s="191"/>
      <c r="D148" s="191"/>
      <c r="E148" s="187"/>
      <c r="F148" s="187"/>
      <c r="G148" s="187"/>
      <c r="H148" s="187"/>
      <c r="I148" s="187"/>
      <c r="J148" s="187"/>
      <c r="K148" s="191"/>
      <c r="L148" s="191"/>
      <c r="M148" s="187"/>
      <c r="N148" s="187"/>
      <c r="O148" s="187"/>
      <c r="P148" s="187"/>
      <c r="Q148" s="187"/>
      <c r="R148" s="187"/>
      <c r="S148" s="187"/>
      <c r="T148" s="187"/>
      <c r="U148" s="187"/>
      <c r="V148" s="187"/>
      <c r="W148" s="187"/>
      <c r="X148" s="187"/>
      <c r="Y148" s="187"/>
      <c r="Z148" s="187"/>
      <c r="AA148" s="187"/>
      <c r="AB148" s="187"/>
      <c r="AC148" s="187"/>
      <c r="AD148" s="187"/>
      <c r="AE148" s="187"/>
      <c r="AF148" s="187"/>
      <c r="AG148" s="187"/>
      <c r="AH148" s="187"/>
      <c r="AI148" s="187"/>
      <c r="AJ148" s="187"/>
      <c r="AK148" s="187"/>
      <c r="AL148" s="187"/>
      <c r="AM148" s="187"/>
      <c r="AN148" s="187"/>
      <c r="AO148" s="187"/>
      <c r="AP148" s="187"/>
      <c r="AQ148" s="187"/>
      <c r="AR148" s="187"/>
      <c r="AS148" s="187"/>
      <c r="AT148" s="187"/>
      <c r="AU148" s="187"/>
      <c r="AV148" s="187"/>
      <c r="AW148" s="187"/>
      <c r="AX148" s="187"/>
      <c r="AY148" s="187"/>
      <c r="AZ148" s="187"/>
      <c r="BA148" s="187"/>
      <c r="BB148" s="187"/>
      <c r="BC148" s="187"/>
      <c r="BD148" s="187"/>
      <c r="BE148" s="187"/>
      <c r="BF148" s="187"/>
      <c r="BG148" s="187"/>
      <c r="BH148" s="187"/>
      <c r="BI148" s="187"/>
      <c r="BJ148" s="187"/>
      <c r="BK148" s="187"/>
      <c r="BL148" s="187"/>
      <c r="BM148" s="187"/>
      <c r="BN148" s="187"/>
    </row>
    <row r="149" spans="1:66">
      <c r="A149" s="187"/>
      <c r="B149" s="187"/>
      <c r="C149" s="191"/>
      <c r="D149" s="191"/>
      <c r="E149" s="187"/>
      <c r="F149" s="187"/>
      <c r="G149" s="187"/>
      <c r="H149" s="187"/>
      <c r="I149" s="187"/>
      <c r="J149" s="187"/>
      <c r="K149" s="191"/>
      <c r="L149" s="191"/>
      <c r="M149" s="187"/>
      <c r="N149" s="187"/>
      <c r="O149" s="187"/>
      <c r="P149" s="187"/>
      <c r="Q149" s="187"/>
      <c r="R149" s="187"/>
      <c r="S149" s="187"/>
      <c r="T149" s="187"/>
      <c r="U149" s="187"/>
      <c r="V149" s="187"/>
      <c r="W149" s="187"/>
      <c r="X149" s="187"/>
      <c r="Y149" s="187"/>
      <c r="Z149" s="187"/>
      <c r="AA149" s="187"/>
      <c r="AB149" s="187"/>
      <c r="AC149" s="187"/>
      <c r="AD149" s="187"/>
      <c r="AE149" s="187"/>
      <c r="AF149" s="187"/>
      <c r="AG149" s="187"/>
      <c r="AH149" s="187"/>
      <c r="AI149" s="187"/>
      <c r="AJ149" s="187"/>
      <c r="AK149" s="187"/>
      <c r="AL149" s="187"/>
      <c r="AM149" s="187"/>
      <c r="AN149" s="187"/>
      <c r="AO149" s="187"/>
      <c r="AP149" s="187"/>
      <c r="AQ149" s="187"/>
      <c r="AR149" s="187"/>
      <c r="AS149" s="187"/>
      <c r="AT149" s="187"/>
      <c r="AU149" s="187"/>
      <c r="AV149" s="187"/>
      <c r="AW149" s="187"/>
      <c r="AX149" s="187"/>
      <c r="AY149" s="187"/>
      <c r="AZ149" s="187"/>
      <c r="BA149" s="187"/>
      <c r="BB149" s="187"/>
      <c r="BC149" s="187"/>
      <c r="BD149" s="187"/>
      <c r="BE149" s="187"/>
      <c r="BF149" s="187"/>
      <c r="BG149" s="187"/>
      <c r="BH149" s="187"/>
      <c r="BI149" s="187"/>
      <c r="BJ149" s="187"/>
      <c r="BK149" s="187"/>
      <c r="BL149" s="187"/>
      <c r="BM149" s="187"/>
      <c r="BN149" s="187"/>
    </row>
    <row r="150" spans="1:66">
      <c r="A150" s="187"/>
      <c r="B150" s="187"/>
      <c r="C150" s="191"/>
      <c r="D150" s="191"/>
      <c r="E150" s="187"/>
      <c r="F150" s="187"/>
      <c r="G150" s="187"/>
      <c r="H150" s="187"/>
      <c r="I150" s="187"/>
      <c r="J150" s="187"/>
      <c r="K150" s="191"/>
      <c r="L150" s="191"/>
      <c r="M150" s="187"/>
      <c r="N150" s="187"/>
      <c r="O150" s="187"/>
      <c r="P150" s="187"/>
      <c r="Q150" s="187"/>
      <c r="R150" s="187"/>
      <c r="S150" s="187"/>
      <c r="T150" s="187"/>
      <c r="U150" s="187"/>
      <c r="V150" s="187"/>
      <c r="W150" s="187"/>
      <c r="X150" s="187"/>
      <c r="Y150" s="187"/>
      <c r="Z150" s="187"/>
      <c r="AA150" s="187"/>
      <c r="AB150" s="187"/>
      <c r="AC150" s="187"/>
      <c r="AD150" s="187"/>
      <c r="AE150" s="187"/>
      <c r="AF150" s="187"/>
      <c r="AG150" s="187"/>
      <c r="AH150" s="187"/>
      <c r="AI150" s="187"/>
      <c r="AJ150" s="187"/>
      <c r="AK150" s="187"/>
      <c r="AL150" s="187"/>
      <c r="AM150" s="187"/>
      <c r="AN150" s="187"/>
      <c r="AO150" s="187"/>
      <c r="AP150" s="187"/>
      <c r="AQ150" s="187"/>
      <c r="AR150" s="187"/>
      <c r="AS150" s="187"/>
      <c r="AT150" s="187"/>
      <c r="AU150" s="187"/>
      <c r="AV150" s="187"/>
      <c r="AW150" s="187"/>
      <c r="AX150" s="187"/>
      <c r="AY150" s="187"/>
      <c r="AZ150" s="187"/>
      <c r="BA150" s="187"/>
      <c r="BB150" s="187"/>
      <c r="BC150" s="187"/>
      <c r="BD150" s="187"/>
      <c r="BE150" s="187"/>
      <c r="BF150" s="187"/>
      <c r="BG150" s="187"/>
      <c r="BH150" s="187"/>
      <c r="BI150" s="187"/>
      <c r="BJ150" s="187"/>
      <c r="BK150" s="187"/>
      <c r="BL150" s="187"/>
      <c r="BM150" s="187"/>
      <c r="BN150" s="187"/>
    </row>
    <row r="151" spans="1:66">
      <c r="A151" s="187"/>
      <c r="B151" s="187"/>
      <c r="C151" s="191"/>
      <c r="D151" s="191"/>
      <c r="E151" s="187"/>
      <c r="F151" s="187"/>
      <c r="G151" s="187"/>
      <c r="H151" s="187"/>
      <c r="I151" s="187"/>
      <c r="J151" s="187"/>
      <c r="K151" s="191"/>
      <c r="L151" s="191"/>
      <c r="M151" s="187"/>
      <c r="N151" s="187"/>
      <c r="O151" s="187"/>
      <c r="P151" s="187"/>
      <c r="Q151" s="187"/>
      <c r="R151" s="187"/>
      <c r="S151" s="187"/>
      <c r="T151" s="187"/>
      <c r="U151" s="187"/>
      <c r="V151" s="187"/>
      <c r="W151" s="187"/>
      <c r="X151" s="187"/>
      <c r="Y151" s="187"/>
      <c r="Z151" s="187"/>
      <c r="AA151" s="187"/>
      <c r="AB151" s="187"/>
      <c r="AC151" s="187"/>
      <c r="AD151" s="187"/>
      <c r="AE151" s="187"/>
      <c r="AF151" s="187"/>
      <c r="AG151" s="187"/>
      <c r="AH151" s="187"/>
      <c r="AI151" s="187"/>
      <c r="AJ151" s="187"/>
      <c r="AK151" s="187"/>
      <c r="AL151" s="187"/>
      <c r="AM151" s="187"/>
      <c r="AN151" s="187"/>
      <c r="AO151" s="187"/>
      <c r="AP151" s="187"/>
      <c r="AQ151" s="187"/>
      <c r="AR151" s="187"/>
      <c r="AS151" s="187"/>
      <c r="AT151" s="187"/>
      <c r="AU151" s="187"/>
      <c r="AV151" s="187"/>
      <c r="AW151" s="187"/>
      <c r="AX151" s="187"/>
      <c r="AY151" s="187"/>
      <c r="AZ151" s="187"/>
      <c r="BA151" s="187"/>
      <c r="BB151" s="187"/>
      <c r="BC151" s="187"/>
      <c r="BD151" s="187"/>
      <c r="BE151" s="187"/>
      <c r="BF151" s="187"/>
      <c r="BG151" s="187"/>
      <c r="BH151" s="187"/>
      <c r="BI151" s="187"/>
      <c r="BJ151" s="187"/>
      <c r="BK151" s="187"/>
      <c r="BL151" s="187"/>
      <c r="BM151" s="187"/>
      <c r="BN151" s="187"/>
    </row>
    <row r="152" spans="1:66">
      <c r="A152" s="187"/>
      <c r="B152" s="187"/>
      <c r="C152" s="191"/>
      <c r="D152" s="191"/>
      <c r="E152" s="187"/>
      <c r="F152" s="187"/>
      <c r="G152" s="187"/>
      <c r="H152" s="187"/>
      <c r="I152" s="187"/>
      <c r="J152" s="187"/>
      <c r="K152" s="191"/>
      <c r="L152" s="191"/>
      <c r="M152" s="187"/>
      <c r="N152" s="187"/>
      <c r="O152" s="187"/>
      <c r="P152" s="187"/>
      <c r="Q152" s="187"/>
      <c r="R152" s="187"/>
      <c r="S152" s="187"/>
      <c r="T152" s="187"/>
      <c r="U152" s="187"/>
      <c r="V152" s="187"/>
      <c r="W152" s="187"/>
      <c r="X152" s="187"/>
      <c r="Y152" s="187"/>
      <c r="Z152" s="187"/>
      <c r="AA152" s="187"/>
      <c r="AB152" s="187"/>
      <c r="AC152" s="187"/>
      <c r="AD152" s="187"/>
      <c r="AE152" s="187"/>
      <c r="AF152" s="187"/>
      <c r="AG152" s="187"/>
      <c r="AH152" s="187"/>
      <c r="AI152" s="187"/>
      <c r="AJ152" s="187"/>
      <c r="AK152" s="187"/>
      <c r="AL152" s="187"/>
      <c r="AM152" s="187"/>
      <c r="AN152" s="187"/>
      <c r="AO152" s="187"/>
      <c r="AP152" s="187"/>
      <c r="AQ152" s="187"/>
      <c r="AR152" s="187"/>
      <c r="AS152" s="187"/>
      <c r="AT152" s="187"/>
      <c r="AU152" s="187"/>
      <c r="AV152" s="187"/>
      <c r="AW152" s="187"/>
      <c r="AX152" s="187"/>
      <c r="AY152" s="187"/>
      <c r="AZ152" s="187"/>
      <c r="BA152" s="187"/>
      <c r="BB152" s="187"/>
      <c r="BC152" s="187"/>
      <c r="BD152" s="187"/>
      <c r="BE152" s="187"/>
      <c r="BF152" s="187"/>
      <c r="BG152" s="187"/>
      <c r="BH152" s="187"/>
      <c r="BI152" s="187"/>
      <c r="BJ152" s="187"/>
      <c r="BK152" s="187"/>
      <c r="BL152" s="187"/>
      <c r="BM152" s="187"/>
      <c r="BN152" s="187"/>
    </row>
    <row r="153" spans="1:66">
      <c r="A153" s="187"/>
      <c r="B153" s="187"/>
      <c r="C153" s="191"/>
      <c r="D153" s="191"/>
      <c r="E153" s="187"/>
      <c r="F153" s="187"/>
      <c r="G153" s="187"/>
      <c r="H153" s="187"/>
      <c r="I153" s="187"/>
      <c r="J153" s="187"/>
      <c r="K153" s="191"/>
      <c r="L153" s="191"/>
      <c r="M153" s="187"/>
      <c r="N153" s="187"/>
      <c r="O153" s="187"/>
      <c r="P153" s="187"/>
      <c r="Q153" s="187"/>
      <c r="R153" s="187"/>
      <c r="S153" s="187"/>
      <c r="T153" s="187"/>
      <c r="U153" s="187"/>
      <c r="V153" s="187"/>
      <c r="W153" s="187"/>
      <c r="X153" s="187"/>
      <c r="Y153" s="187"/>
      <c r="Z153" s="187"/>
      <c r="AA153" s="187"/>
      <c r="AB153" s="187"/>
      <c r="AC153" s="187"/>
      <c r="AD153" s="187"/>
      <c r="AE153" s="187"/>
      <c r="AF153" s="187"/>
      <c r="AG153" s="187"/>
      <c r="AH153" s="187"/>
      <c r="AI153" s="187"/>
      <c r="AJ153" s="187"/>
      <c r="AK153" s="187"/>
      <c r="AL153" s="187"/>
      <c r="AM153" s="187"/>
      <c r="AN153" s="187"/>
      <c r="AO153" s="187"/>
      <c r="AP153" s="187"/>
      <c r="AQ153" s="187"/>
      <c r="AR153" s="187"/>
      <c r="AS153" s="187"/>
      <c r="AT153" s="187"/>
      <c r="AU153" s="187"/>
      <c r="AV153" s="187"/>
      <c r="AW153" s="187"/>
      <c r="AX153" s="187"/>
      <c r="AY153" s="187"/>
      <c r="AZ153" s="187"/>
      <c r="BA153" s="187"/>
      <c r="BB153" s="187"/>
      <c r="BC153" s="187"/>
      <c r="BD153" s="187"/>
      <c r="BE153" s="187"/>
      <c r="BF153" s="187"/>
      <c r="BG153" s="187"/>
      <c r="BH153" s="187"/>
      <c r="BI153" s="187"/>
      <c r="BJ153" s="187"/>
      <c r="BK153" s="187"/>
      <c r="BL153" s="187"/>
      <c r="BM153" s="187"/>
      <c r="BN153" s="187"/>
    </row>
    <row r="154" spans="1:66">
      <c r="A154" s="187"/>
      <c r="B154" s="187"/>
      <c r="C154" s="191"/>
      <c r="D154" s="191"/>
      <c r="E154" s="187"/>
      <c r="F154" s="187"/>
      <c r="G154" s="187"/>
      <c r="H154" s="187"/>
      <c r="I154" s="187"/>
      <c r="J154" s="187"/>
      <c r="K154" s="191"/>
      <c r="L154" s="191"/>
      <c r="M154" s="187"/>
      <c r="N154" s="187"/>
      <c r="O154" s="187"/>
      <c r="P154" s="187"/>
      <c r="Q154" s="187"/>
      <c r="R154" s="187"/>
      <c r="S154" s="187"/>
      <c r="T154" s="187"/>
      <c r="U154" s="187"/>
      <c r="V154" s="187"/>
      <c r="W154" s="187"/>
      <c r="X154" s="187"/>
      <c r="Y154" s="187"/>
      <c r="Z154" s="187"/>
      <c r="AA154" s="187"/>
      <c r="AB154" s="187"/>
      <c r="AC154" s="187"/>
      <c r="AD154" s="187"/>
      <c r="AE154" s="187"/>
      <c r="AF154" s="187"/>
      <c r="AG154" s="187"/>
      <c r="AH154" s="187"/>
      <c r="AI154" s="187"/>
      <c r="AJ154" s="187"/>
      <c r="AK154" s="187"/>
      <c r="AL154" s="187"/>
      <c r="AM154" s="187"/>
      <c r="AN154" s="187"/>
      <c r="AO154" s="187"/>
      <c r="AP154" s="187"/>
      <c r="AQ154" s="187"/>
      <c r="AR154" s="187"/>
      <c r="AS154" s="187"/>
      <c r="AT154" s="187"/>
      <c r="AU154" s="187"/>
      <c r="AV154" s="187"/>
      <c r="AW154" s="187"/>
      <c r="AX154" s="187"/>
      <c r="AY154" s="187"/>
      <c r="AZ154" s="187"/>
      <c r="BA154" s="187"/>
      <c r="BB154" s="187"/>
      <c r="BC154" s="187"/>
      <c r="BD154" s="187"/>
      <c r="BE154" s="187"/>
      <c r="BF154" s="187"/>
      <c r="BG154" s="187"/>
      <c r="BH154" s="187"/>
      <c r="BI154" s="187"/>
      <c r="BJ154" s="187"/>
      <c r="BK154" s="187"/>
      <c r="BL154" s="187"/>
      <c r="BM154" s="187"/>
      <c r="BN154" s="187"/>
    </row>
    <row r="155" spans="1:66">
      <c r="A155" s="187"/>
      <c r="B155" s="187"/>
      <c r="C155" s="191"/>
      <c r="D155" s="191"/>
      <c r="E155" s="187"/>
      <c r="F155" s="187"/>
      <c r="G155" s="187"/>
      <c r="H155" s="187"/>
      <c r="I155" s="187"/>
      <c r="J155" s="187"/>
      <c r="K155" s="191"/>
      <c r="L155" s="191"/>
      <c r="M155" s="187"/>
      <c r="N155" s="187"/>
      <c r="O155" s="187"/>
      <c r="P155" s="187"/>
      <c r="Q155" s="187"/>
      <c r="R155" s="187"/>
      <c r="S155" s="187"/>
      <c r="T155" s="187"/>
      <c r="U155" s="187"/>
      <c r="V155" s="187"/>
      <c r="W155" s="187"/>
      <c r="X155" s="187"/>
      <c r="Y155" s="187"/>
      <c r="Z155" s="187"/>
      <c r="AA155" s="187"/>
      <c r="AB155" s="187"/>
      <c r="AC155" s="187"/>
      <c r="AD155" s="187"/>
      <c r="AE155" s="187"/>
      <c r="AF155" s="187"/>
      <c r="AG155" s="187"/>
      <c r="AH155" s="187"/>
      <c r="AI155" s="187"/>
      <c r="AJ155" s="187"/>
      <c r="AK155" s="187"/>
      <c r="AL155" s="187"/>
      <c r="AM155" s="187"/>
      <c r="AN155" s="187"/>
      <c r="AO155" s="187"/>
      <c r="AP155" s="187"/>
      <c r="AQ155" s="187"/>
      <c r="AR155" s="187"/>
      <c r="AS155" s="187"/>
      <c r="AT155" s="187"/>
      <c r="AU155" s="187"/>
      <c r="AV155" s="187"/>
      <c r="AW155" s="187"/>
      <c r="AX155" s="187"/>
      <c r="AY155" s="187"/>
      <c r="AZ155" s="187"/>
      <c r="BA155" s="187"/>
      <c r="BB155" s="187"/>
      <c r="BC155" s="187"/>
      <c r="BD155" s="187"/>
      <c r="BE155" s="187"/>
      <c r="BF155" s="187"/>
      <c r="BG155" s="187"/>
      <c r="BH155" s="187"/>
      <c r="BI155" s="187"/>
      <c r="BJ155" s="187"/>
      <c r="BK155" s="187"/>
      <c r="BL155" s="187"/>
      <c r="BM155" s="187"/>
      <c r="BN155" s="187"/>
    </row>
    <row r="156" spans="1:66">
      <c r="A156" s="187"/>
      <c r="B156" s="187"/>
      <c r="C156" s="191"/>
      <c r="D156" s="191"/>
      <c r="E156" s="187"/>
      <c r="F156" s="187"/>
      <c r="G156" s="187"/>
      <c r="H156" s="187"/>
      <c r="I156" s="187"/>
      <c r="J156" s="187"/>
      <c r="K156" s="191"/>
      <c r="L156" s="191"/>
      <c r="M156" s="187"/>
      <c r="N156" s="187"/>
      <c r="O156" s="187"/>
      <c r="P156" s="187"/>
      <c r="Q156" s="187"/>
      <c r="R156" s="187"/>
      <c r="S156" s="187"/>
      <c r="T156" s="187"/>
      <c r="U156" s="187"/>
      <c r="V156" s="187"/>
      <c r="W156" s="187"/>
      <c r="X156" s="187"/>
      <c r="Y156" s="187"/>
      <c r="Z156" s="187"/>
      <c r="AA156" s="187"/>
      <c r="AB156" s="187"/>
      <c r="AC156" s="187"/>
      <c r="AD156" s="187"/>
      <c r="AE156" s="187"/>
      <c r="AF156" s="187"/>
      <c r="AG156" s="187"/>
      <c r="AH156" s="187"/>
      <c r="AI156" s="187"/>
      <c r="AJ156" s="187"/>
      <c r="AK156" s="187"/>
      <c r="AL156" s="187"/>
      <c r="AM156" s="187"/>
      <c r="AN156" s="187"/>
      <c r="AO156" s="187"/>
      <c r="AP156" s="187"/>
      <c r="AQ156" s="187"/>
      <c r="AR156" s="187"/>
      <c r="AS156" s="187"/>
      <c r="AT156" s="187"/>
      <c r="AU156" s="187"/>
      <c r="AV156" s="187"/>
      <c r="AW156" s="187"/>
      <c r="AX156" s="187"/>
      <c r="AY156" s="187"/>
      <c r="AZ156" s="187"/>
      <c r="BA156" s="187"/>
      <c r="BB156" s="187"/>
      <c r="BC156" s="187"/>
      <c r="BD156" s="187"/>
      <c r="BE156" s="187"/>
      <c r="BF156" s="187"/>
      <c r="BG156" s="187"/>
      <c r="BH156" s="187"/>
      <c r="BI156" s="187"/>
      <c r="BJ156" s="187"/>
      <c r="BK156" s="187"/>
      <c r="BL156" s="187"/>
      <c r="BM156" s="187"/>
      <c r="BN156" s="187"/>
    </row>
    <row r="157" spans="1:66">
      <c r="A157" s="187"/>
      <c r="B157" s="187"/>
      <c r="C157" s="191"/>
      <c r="D157" s="191"/>
      <c r="E157" s="187"/>
      <c r="F157" s="187"/>
      <c r="G157" s="187"/>
      <c r="H157" s="187"/>
      <c r="I157" s="187"/>
      <c r="J157" s="187"/>
      <c r="K157" s="191"/>
      <c r="L157" s="191"/>
      <c r="M157" s="187"/>
      <c r="N157" s="187"/>
      <c r="O157" s="187"/>
      <c r="P157" s="187"/>
      <c r="Q157" s="187"/>
      <c r="R157" s="187"/>
      <c r="S157" s="187"/>
      <c r="T157" s="187"/>
      <c r="U157" s="187"/>
      <c r="V157" s="187"/>
      <c r="W157" s="187"/>
      <c r="X157" s="187"/>
      <c r="Y157" s="187"/>
      <c r="Z157" s="187"/>
      <c r="AA157" s="187"/>
      <c r="AB157" s="187"/>
      <c r="AC157" s="187"/>
      <c r="AD157" s="187"/>
      <c r="AE157" s="187"/>
      <c r="AF157" s="187"/>
      <c r="AG157" s="187"/>
      <c r="AH157" s="187"/>
      <c r="AI157" s="187"/>
      <c r="AJ157" s="187"/>
      <c r="AK157" s="187"/>
      <c r="AL157" s="187"/>
      <c r="AM157" s="187"/>
      <c r="AN157" s="187"/>
      <c r="AO157" s="187"/>
      <c r="AP157" s="187"/>
      <c r="AQ157" s="187"/>
      <c r="AR157" s="187"/>
      <c r="AS157" s="187"/>
      <c r="AT157" s="187"/>
      <c r="AU157" s="187"/>
      <c r="AV157" s="187"/>
      <c r="AW157" s="187"/>
      <c r="AX157" s="187"/>
      <c r="AY157" s="187"/>
      <c r="AZ157" s="187"/>
      <c r="BA157" s="187"/>
      <c r="BB157" s="187"/>
      <c r="BC157" s="187"/>
      <c r="BD157" s="187"/>
      <c r="BE157" s="187"/>
      <c r="BF157" s="187"/>
      <c r="BG157" s="187"/>
      <c r="BH157" s="187"/>
      <c r="BI157" s="187"/>
      <c r="BJ157" s="187"/>
      <c r="BK157" s="187"/>
      <c r="BL157" s="187"/>
      <c r="BM157" s="187"/>
      <c r="BN157" s="187"/>
    </row>
    <row r="158" spans="1:66">
      <c r="A158" s="187"/>
      <c r="B158" s="187"/>
      <c r="C158" s="191"/>
      <c r="D158" s="191"/>
      <c r="E158" s="187"/>
      <c r="F158" s="187"/>
      <c r="G158" s="187"/>
      <c r="H158" s="187"/>
      <c r="I158" s="187"/>
      <c r="J158" s="187"/>
      <c r="K158" s="191"/>
      <c r="L158" s="191"/>
      <c r="M158" s="187"/>
      <c r="N158" s="187"/>
      <c r="O158" s="187"/>
      <c r="P158" s="187"/>
      <c r="Q158" s="187"/>
      <c r="R158" s="187"/>
      <c r="S158" s="187"/>
      <c r="T158" s="187"/>
      <c r="U158" s="187"/>
      <c r="V158" s="187"/>
      <c r="W158" s="187"/>
      <c r="X158" s="187"/>
      <c r="Y158" s="187"/>
      <c r="Z158" s="187"/>
      <c r="AA158" s="187"/>
      <c r="AB158" s="187"/>
      <c r="AC158" s="187"/>
      <c r="AD158" s="187"/>
      <c r="AE158" s="187"/>
      <c r="AF158" s="187"/>
      <c r="AG158" s="187"/>
      <c r="AH158" s="187"/>
      <c r="AI158" s="187"/>
      <c r="AJ158" s="187"/>
      <c r="AK158" s="187"/>
      <c r="AL158" s="187"/>
      <c r="AM158" s="187"/>
      <c r="AN158" s="187"/>
      <c r="AO158" s="187"/>
      <c r="AP158" s="187"/>
      <c r="AQ158" s="187"/>
      <c r="AR158" s="187"/>
      <c r="AS158" s="187"/>
      <c r="AT158" s="187"/>
      <c r="AU158" s="187"/>
      <c r="AV158" s="187"/>
      <c r="AW158" s="187"/>
      <c r="AX158" s="187"/>
      <c r="AY158" s="187"/>
      <c r="AZ158" s="187"/>
      <c r="BA158" s="187"/>
      <c r="BB158" s="187"/>
      <c r="BC158" s="187"/>
      <c r="BD158" s="187"/>
      <c r="BE158" s="187"/>
      <c r="BF158" s="187"/>
      <c r="BG158" s="187"/>
      <c r="BH158" s="187"/>
      <c r="BI158" s="187"/>
      <c r="BJ158" s="187"/>
      <c r="BK158" s="187"/>
      <c r="BL158" s="187"/>
      <c r="BM158" s="187"/>
      <c r="BN158" s="187"/>
    </row>
    <row r="159" spans="1:66">
      <c r="A159" s="187"/>
      <c r="B159" s="187"/>
      <c r="C159" s="191"/>
      <c r="D159" s="191"/>
      <c r="E159" s="187"/>
      <c r="F159" s="187"/>
      <c r="G159" s="187"/>
      <c r="H159" s="187"/>
      <c r="I159" s="187"/>
      <c r="J159" s="187"/>
      <c r="K159" s="191"/>
      <c r="L159" s="191"/>
      <c r="M159" s="187"/>
      <c r="N159" s="187"/>
      <c r="O159" s="187"/>
      <c r="P159" s="187"/>
      <c r="Q159" s="187"/>
      <c r="R159" s="187"/>
      <c r="S159" s="187"/>
      <c r="T159" s="187"/>
      <c r="U159" s="187"/>
      <c r="V159" s="187"/>
      <c r="W159" s="187"/>
      <c r="X159" s="187"/>
      <c r="Y159" s="187"/>
      <c r="Z159" s="187"/>
      <c r="AA159" s="187"/>
      <c r="AB159" s="187"/>
      <c r="AC159" s="187"/>
      <c r="AD159" s="187"/>
      <c r="AE159" s="187"/>
      <c r="AF159" s="187"/>
      <c r="AG159" s="187"/>
      <c r="AH159" s="187"/>
      <c r="AI159" s="187"/>
      <c r="AJ159" s="187"/>
      <c r="AK159" s="187"/>
      <c r="AL159" s="187"/>
      <c r="AM159" s="187"/>
      <c r="AN159" s="187"/>
      <c r="AO159" s="187"/>
      <c r="AP159" s="187"/>
      <c r="AQ159" s="187"/>
      <c r="AR159" s="187"/>
      <c r="AS159" s="187"/>
      <c r="AT159" s="187"/>
      <c r="AU159" s="187"/>
      <c r="AV159" s="187"/>
      <c r="AW159" s="187"/>
      <c r="AX159" s="187"/>
      <c r="AY159" s="187"/>
      <c r="AZ159" s="187"/>
      <c r="BA159" s="187"/>
      <c r="BB159" s="187"/>
      <c r="BC159" s="187"/>
      <c r="BD159" s="187"/>
      <c r="BE159" s="187"/>
      <c r="BF159" s="187"/>
      <c r="BG159" s="187"/>
      <c r="BH159" s="187"/>
      <c r="BI159" s="187"/>
      <c r="BJ159" s="187"/>
      <c r="BK159" s="187"/>
      <c r="BL159" s="187"/>
      <c r="BM159" s="187"/>
      <c r="BN159" s="187"/>
    </row>
    <row r="160" spans="1:66">
      <c r="A160" s="187"/>
      <c r="B160" s="187"/>
      <c r="C160" s="191"/>
      <c r="D160" s="191"/>
      <c r="E160" s="187"/>
      <c r="F160" s="187"/>
      <c r="G160" s="187"/>
      <c r="H160" s="187"/>
      <c r="I160" s="187"/>
      <c r="J160" s="187"/>
      <c r="K160" s="191"/>
      <c r="L160" s="191"/>
      <c r="M160" s="187"/>
      <c r="N160" s="187"/>
      <c r="O160" s="187"/>
      <c r="P160" s="187"/>
      <c r="Q160" s="187"/>
      <c r="R160" s="187"/>
      <c r="S160" s="187"/>
      <c r="T160" s="187"/>
      <c r="U160" s="187"/>
      <c r="V160" s="187"/>
      <c r="W160" s="187"/>
      <c r="X160" s="187"/>
      <c r="Y160" s="187"/>
      <c r="Z160" s="187"/>
      <c r="AA160" s="187"/>
      <c r="AB160" s="187"/>
      <c r="AC160" s="187"/>
      <c r="AD160" s="187"/>
      <c r="AE160" s="187"/>
      <c r="AF160" s="187"/>
      <c r="AG160" s="187"/>
      <c r="AH160" s="187"/>
      <c r="AI160" s="187"/>
      <c r="AJ160" s="187"/>
      <c r="AK160" s="187"/>
      <c r="AL160" s="187"/>
      <c r="AM160" s="187"/>
      <c r="AN160" s="187"/>
      <c r="AO160" s="187"/>
      <c r="AP160" s="187"/>
      <c r="AQ160" s="187"/>
      <c r="AR160" s="187"/>
      <c r="AS160" s="187"/>
      <c r="AT160" s="187"/>
      <c r="AU160" s="187"/>
      <c r="AV160" s="187"/>
      <c r="AW160" s="187"/>
      <c r="AX160" s="187"/>
      <c r="AY160" s="187"/>
      <c r="AZ160" s="187"/>
      <c r="BA160" s="187"/>
      <c r="BB160" s="187"/>
      <c r="BC160" s="187"/>
      <c r="BD160" s="187"/>
      <c r="BE160" s="187"/>
      <c r="BF160" s="187"/>
      <c r="BG160" s="187"/>
      <c r="BH160" s="187"/>
      <c r="BI160" s="187"/>
      <c r="BJ160" s="187"/>
      <c r="BK160" s="187"/>
      <c r="BL160" s="187"/>
      <c r="BM160" s="187"/>
      <c r="BN160" s="187"/>
    </row>
    <row r="161" spans="1:66">
      <c r="A161" s="187"/>
      <c r="B161" s="187"/>
      <c r="C161" s="191"/>
      <c r="D161" s="191"/>
      <c r="E161" s="187"/>
      <c r="F161" s="187"/>
      <c r="G161" s="187"/>
      <c r="H161" s="187"/>
      <c r="I161" s="187"/>
      <c r="J161" s="187"/>
      <c r="K161" s="191"/>
      <c r="L161" s="191"/>
      <c r="M161" s="187"/>
      <c r="N161" s="187"/>
      <c r="O161" s="187"/>
      <c r="P161" s="187"/>
      <c r="Q161" s="187"/>
      <c r="R161" s="187"/>
      <c r="S161" s="187"/>
      <c r="T161" s="187"/>
      <c r="U161" s="187"/>
      <c r="V161" s="187"/>
      <c r="W161" s="187"/>
      <c r="X161" s="187"/>
      <c r="Y161" s="187"/>
      <c r="Z161" s="187"/>
      <c r="AA161" s="187"/>
      <c r="AB161" s="187"/>
      <c r="AC161" s="187"/>
      <c r="AD161" s="187"/>
      <c r="AE161" s="187"/>
      <c r="AF161" s="187"/>
      <c r="AG161" s="187"/>
      <c r="AH161" s="187"/>
      <c r="AI161" s="187"/>
      <c r="AJ161" s="187"/>
      <c r="AK161" s="187"/>
      <c r="AL161" s="187"/>
      <c r="AM161" s="187"/>
      <c r="AN161" s="187"/>
      <c r="AO161" s="187"/>
      <c r="AP161" s="187"/>
      <c r="AQ161" s="187"/>
      <c r="AR161" s="187"/>
      <c r="AS161" s="187"/>
      <c r="AT161" s="187"/>
      <c r="AU161" s="187"/>
      <c r="AV161" s="187"/>
      <c r="AW161" s="187"/>
      <c r="AX161" s="187"/>
      <c r="AY161" s="187"/>
      <c r="AZ161" s="187"/>
      <c r="BA161" s="187"/>
      <c r="BB161" s="187"/>
      <c r="BC161" s="187"/>
      <c r="BD161" s="187"/>
      <c r="BE161" s="187"/>
      <c r="BF161" s="187"/>
      <c r="BG161" s="187"/>
      <c r="BH161" s="187"/>
      <c r="BI161" s="187"/>
      <c r="BJ161" s="187"/>
      <c r="BK161" s="187"/>
      <c r="BL161" s="187"/>
      <c r="BM161" s="187"/>
      <c r="BN161" s="187"/>
    </row>
    <row r="162" spans="1:66">
      <c r="A162" s="187"/>
      <c r="B162" s="187"/>
      <c r="C162" s="191"/>
      <c r="D162" s="191"/>
      <c r="E162" s="187"/>
      <c r="F162" s="187"/>
      <c r="G162" s="187"/>
      <c r="H162" s="187"/>
      <c r="I162" s="187"/>
      <c r="J162" s="187"/>
      <c r="K162" s="191"/>
      <c r="L162" s="191"/>
      <c r="M162" s="187"/>
      <c r="N162" s="187"/>
      <c r="O162" s="187"/>
      <c r="P162" s="187"/>
      <c r="Q162" s="187"/>
      <c r="R162" s="187"/>
      <c r="S162" s="187"/>
      <c r="T162" s="187"/>
      <c r="U162" s="187"/>
      <c r="V162" s="187"/>
      <c r="W162" s="187"/>
      <c r="X162" s="187"/>
      <c r="Y162" s="187"/>
      <c r="Z162" s="187"/>
      <c r="AA162" s="187"/>
      <c r="AB162" s="187"/>
      <c r="AC162" s="187"/>
      <c r="AD162" s="187"/>
      <c r="AE162" s="187"/>
      <c r="AF162" s="187"/>
      <c r="AG162" s="187"/>
      <c r="AH162" s="187"/>
      <c r="AI162" s="187"/>
      <c r="AJ162" s="187"/>
      <c r="AK162" s="187"/>
      <c r="AL162" s="187"/>
      <c r="AM162" s="187"/>
      <c r="AN162" s="187"/>
      <c r="AO162" s="187"/>
      <c r="AP162" s="187"/>
      <c r="AQ162" s="187"/>
      <c r="AR162" s="187"/>
      <c r="AS162" s="187"/>
      <c r="AT162" s="187"/>
      <c r="AU162" s="187"/>
      <c r="AV162" s="187"/>
      <c r="AW162" s="187"/>
      <c r="AX162" s="187"/>
      <c r="AY162" s="187"/>
      <c r="AZ162" s="187"/>
      <c r="BA162" s="187"/>
      <c r="BB162" s="187"/>
      <c r="BC162" s="187"/>
      <c r="BD162" s="187"/>
      <c r="BE162" s="187"/>
      <c r="BF162" s="187"/>
      <c r="BG162" s="187"/>
      <c r="BH162" s="187"/>
      <c r="BI162" s="187"/>
      <c r="BJ162" s="187"/>
      <c r="BK162" s="187"/>
      <c r="BL162" s="187"/>
      <c r="BM162" s="187"/>
      <c r="BN162" s="187"/>
    </row>
    <row r="163" spans="1:66">
      <c r="A163" s="187"/>
      <c r="B163" s="187"/>
      <c r="C163" s="191"/>
      <c r="D163" s="191"/>
      <c r="E163" s="187"/>
      <c r="F163" s="187"/>
      <c r="G163" s="187"/>
      <c r="H163" s="187"/>
      <c r="I163" s="187"/>
      <c r="J163" s="187"/>
      <c r="K163" s="191"/>
      <c r="L163" s="191"/>
      <c r="M163" s="187"/>
      <c r="N163" s="187"/>
      <c r="O163" s="187"/>
      <c r="P163" s="187"/>
      <c r="Q163" s="187"/>
      <c r="R163" s="187"/>
      <c r="S163" s="187"/>
      <c r="T163" s="187"/>
      <c r="U163" s="187"/>
      <c r="V163" s="187"/>
      <c r="W163" s="187"/>
      <c r="X163" s="187"/>
      <c r="Y163" s="187"/>
      <c r="Z163" s="187"/>
      <c r="AA163" s="187"/>
      <c r="AB163" s="187"/>
      <c r="AC163" s="187"/>
      <c r="AD163" s="187"/>
      <c r="AE163" s="187"/>
      <c r="AF163" s="187"/>
      <c r="AG163" s="187"/>
      <c r="AH163" s="187"/>
      <c r="AI163" s="187"/>
      <c r="AJ163" s="187"/>
      <c r="AK163" s="187"/>
      <c r="AL163" s="187"/>
      <c r="AM163" s="187"/>
      <c r="AN163" s="187"/>
      <c r="AO163" s="187"/>
      <c r="AP163" s="187"/>
      <c r="AQ163" s="187"/>
      <c r="AR163" s="187"/>
      <c r="AS163" s="187"/>
      <c r="AT163" s="187"/>
      <c r="AU163" s="187"/>
      <c r="AV163" s="187"/>
      <c r="AW163" s="187"/>
      <c r="AX163" s="187"/>
      <c r="AY163" s="187"/>
      <c r="AZ163" s="187"/>
      <c r="BA163" s="187"/>
      <c r="BB163" s="187"/>
      <c r="BC163" s="187"/>
      <c r="BD163" s="187"/>
      <c r="BE163" s="187"/>
      <c r="BF163" s="187"/>
      <c r="BG163" s="187"/>
      <c r="BH163" s="187"/>
      <c r="BI163" s="187"/>
      <c r="BJ163" s="187"/>
      <c r="BK163" s="187"/>
      <c r="BL163" s="187"/>
      <c r="BM163" s="187"/>
      <c r="BN163" s="187"/>
    </row>
    <row r="164" spans="1:66">
      <c r="A164" s="187"/>
      <c r="B164" s="187"/>
      <c r="C164" s="191"/>
      <c r="D164" s="191"/>
      <c r="E164" s="187"/>
      <c r="F164" s="187"/>
      <c r="G164" s="187"/>
      <c r="H164" s="187"/>
      <c r="I164" s="187"/>
      <c r="J164" s="187"/>
      <c r="K164" s="191"/>
      <c r="L164" s="191"/>
      <c r="M164" s="187"/>
      <c r="N164" s="187"/>
      <c r="O164" s="187"/>
      <c r="P164" s="187"/>
      <c r="Q164" s="187"/>
      <c r="R164" s="187"/>
      <c r="S164" s="187"/>
      <c r="T164" s="187"/>
      <c r="U164" s="187"/>
      <c r="V164" s="187"/>
      <c r="W164" s="187"/>
      <c r="X164" s="187"/>
      <c r="Y164" s="187"/>
      <c r="Z164" s="187"/>
      <c r="AA164" s="187"/>
      <c r="AB164" s="187"/>
      <c r="AC164" s="187"/>
      <c r="AD164" s="187"/>
      <c r="AE164" s="187"/>
      <c r="AF164" s="187"/>
      <c r="AG164" s="187"/>
      <c r="AH164" s="187"/>
      <c r="AI164" s="187"/>
      <c r="AJ164" s="187"/>
      <c r="AK164" s="187"/>
      <c r="AL164" s="187"/>
      <c r="AM164" s="187"/>
      <c r="AN164" s="187"/>
      <c r="AO164" s="187"/>
      <c r="AP164" s="187"/>
      <c r="AQ164" s="187"/>
      <c r="AR164" s="187"/>
      <c r="AS164" s="187"/>
      <c r="AT164" s="187"/>
      <c r="AU164" s="187"/>
      <c r="AV164" s="187"/>
      <c r="AW164" s="187"/>
      <c r="AX164" s="187"/>
      <c r="AY164" s="187"/>
      <c r="AZ164" s="187"/>
      <c r="BA164" s="187"/>
      <c r="BB164" s="187"/>
      <c r="BC164" s="187"/>
      <c r="BD164" s="187"/>
      <c r="BE164" s="187"/>
      <c r="BF164" s="187"/>
      <c r="BG164" s="187"/>
      <c r="BH164" s="187"/>
      <c r="BI164" s="187"/>
      <c r="BJ164" s="187"/>
      <c r="BK164" s="187"/>
      <c r="BL164" s="187"/>
      <c r="BM164" s="187"/>
      <c r="BN164" s="187"/>
    </row>
    <row r="165" spans="1:66">
      <c r="A165" s="187"/>
      <c r="B165" s="187"/>
      <c r="C165" s="191"/>
      <c r="D165" s="191"/>
      <c r="E165" s="187"/>
      <c r="F165" s="187"/>
      <c r="G165" s="187"/>
      <c r="H165" s="187"/>
      <c r="I165" s="187"/>
      <c r="J165" s="187"/>
      <c r="K165" s="191"/>
      <c r="L165" s="191"/>
      <c r="M165" s="187"/>
      <c r="N165" s="187"/>
      <c r="O165" s="187"/>
      <c r="P165" s="187"/>
      <c r="Q165" s="187"/>
      <c r="R165" s="187"/>
      <c r="S165" s="187"/>
      <c r="T165" s="187"/>
      <c r="U165" s="187"/>
      <c r="V165" s="187"/>
      <c r="W165" s="187"/>
      <c r="X165" s="187"/>
      <c r="Y165" s="187"/>
      <c r="Z165" s="187"/>
      <c r="AA165" s="187"/>
      <c r="AB165" s="187"/>
      <c r="AC165" s="187"/>
      <c r="AD165" s="187"/>
      <c r="AE165" s="187"/>
      <c r="AF165" s="187"/>
      <c r="AG165" s="187"/>
      <c r="AH165" s="187"/>
      <c r="AI165" s="187"/>
      <c r="AJ165" s="187"/>
      <c r="AK165" s="187"/>
      <c r="AL165" s="187"/>
      <c r="AM165" s="187"/>
      <c r="AN165" s="187"/>
      <c r="AO165" s="187"/>
      <c r="AP165" s="187"/>
      <c r="AQ165" s="187"/>
      <c r="AR165" s="187"/>
      <c r="AS165" s="187"/>
      <c r="AT165" s="187"/>
      <c r="AU165" s="187"/>
      <c r="AV165" s="187"/>
      <c r="AW165" s="187"/>
      <c r="AX165" s="187"/>
      <c r="AY165" s="187"/>
      <c r="AZ165" s="187"/>
      <c r="BA165" s="187"/>
      <c r="BB165" s="187"/>
      <c r="BC165" s="187"/>
      <c r="BD165" s="187"/>
      <c r="BE165" s="187"/>
      <c r="BF165" s="187"/>
      <c r="BG165" s="187"/>
      <c r="BH165" s="187"/>
      <c r="BI165" s="187"/>
      <c r="BJ165" s="187"/>
      <c r="BK165" s="187"/>
      <c r="BL165" s="187"/>
      <c r="BM165" s="187"/>
      <c r="BN165" s="187"/>
    </row>
    <row r="166" spans="1:66">
      <c r="A166" s="187"/>
      <c r="B166" s="187"/>
      <c r="C166" s="191"/>
      <c r="D166" s="191"/>
      <c r="E166" s="187"/>
      <c r="F166" s="187"/>
      <c r="G166" s="187"/>
      <c r="H166" s="187"/>
      <c r="I166" s="187"/>
      <c r="J166" s="187"/>
      <c r="K166" s="191"/>
      <c r="L166" s="191"/>
      <c r="M166" s="187"/>
      <c r="N166" s="187"/>
      <c r="O166" s="187"/>
      <c r="P166" s="187"/>
      <c r="Q166" s="187"/>
      <c r="R166" s="187"/>
      <c r="S166" s="187"/>
      <c r="T166" s="187"/>
      <c r="U166" s="187"/>
      <c r="V166" s="187"/>
      <c r="W166" s="187"/>
      <c r="X166" s="187"/>
      <c r="Y166" s="187"/>
      <c r="Z166" s="187"/>
      <c r="AA166" s="187"/>
      <c r="AB166" s="187"/>
      <c r="AC166" s="187"/>
      <c r="AD166" s="187"/>
      <c r="AE166" s="187"/>
      <c r="AF166" s="187"/>
      <c r="AG166" s="187"/>
      <c r="AH166" s="187"/>
      <c r="AI166" s="187"/>
      <c r="AJ166" s="187"/>
      <c r="AK166" s="187"/>
      <c r="AL166" s="187"/>
      <c r="AM166" s="187"/>
      <c r="AN166" s="187"/>
      <c r="AO166" s="187"/>
      <c r="AP166" s="187"/>
      <c r="AQ166" s="187"/>
      <c r="AR166" s="187"/>
      <c r="AS166" s="187"/>
      <c r="AT166" s="187"/>
      <c r="AU166" s="187"/>
      <c r="AV166" s="187"/>
      <c r="AW166" s="187"/>
      <c r="AX166" s="187"/>
      <c r="AY166" s="187"/>
      <c r="AZ166" s="187"/>
      <c r="BA166" s="187"/>
      <c r="BB166" s="187"/>
      <c r="BC166" s="187"/>
      <c r="BD166" s="187"/>
      <c r="BE166" s="187"/>
      <c r="BF166" s="187"/>
      <c r="BG166" s="187"/>
      <c r="BH166" s="187"/>
      <c r="BI166" s="187"/>
      <c r="BJ166" s="187"/>
      <c r="BK166" s="187"/>
      <c r="BL166" s="187"/>
      <c r="BM166" s="187"/>
      <c r="BN166" s="187"/>
    </row>
    <row r="167" spans="1:66">
      <c r="A167" s="187"/>
      <c r="B167" s="187"/>
      <c r="C167" s="191"/>
      <c r="D167" s="191"/>
      <c r="E167" s="187"/>
      <c r="F167" s="187"/>
      <c r="G167" s="187"/>
      <c r="H167" s="187"/>
      <c r="I167" s="187"/>
      <c r="J167" s="187"/>
      <c r="K167" s="191"/>
      <c r="L167" s="191"/>
      <c r="M167" s="187"/>
      <c r="N167" s="187"/>
      <c r="O167" s="187"/>
      <c r="P167" s="187"/>
      <c r="Q167" s="187"/>
      <c r="R167" s="187"/>
      <c r="S167" s="187"/>
      <c r="T167" s="187"/>
      <c r="U167" s="187"/>
      <c r="V167" s="187"/>
      <c r="W167" s="187"/>
      <c r="X167" s="187"/>
      <c r="Y167" s="187"/>
      <c r="Z167" s="187"/>
      <c r="AA167" s="187"/>
      <c r="AB167" s="187"/>
      <c r="AC167" s="187"/>
      <c r="AD167" s="187"/>
      <c r="AE167" s="187"/>
      <c r="AF167" s="187"/>
      <c r="AG167" s="187"/>
      <c r="AH167" s="187"/>
      <c r="AI167" s="187"/>
      <c r="AJ167" s="187"/>
      <c r="AK167" s="187"/>
      <c r="AL167" s="187"/>
      <c r="AM167" s="187"/>
      <c r="AN167" s="187"/>
      <c r="AO167" s="187"/>
      <c r="AP167" s="187"/>
      <c r="AQ167" s="187"/>
      <c r="AR167" s="187"/>
      <c r="AS167" s="187"/>
      <c r="AT167" s="187"/>
      <c r="AU167" s="187"/>
      <c r="AV167" s="187"/>
      <c r="AW167" s="187"/>
      <c r="AX167" s="187"/>
      <c r="AY167" s="187"/>
      <c r="AZ167" s="187"/>
      <c r="BA167" s="187"/>
      <c r="BB167" s="187"/>
      <c r="BC167" s="187"/>
      <c r="BD167" s="187"/>
      <c r="BE167" s="187"/>
      <c r="BF167" s="187"/>
      <c r="BG167" s="187"/>
      <c r="BH167" s="187"/>
      <c r="BI167" s="187"/>
      <c r="BJ167" s="187"/>
      <c r="BK167" s="187"/>
      <c r="BL167" s="187"/>
      <c r="BM167" s="187"/>
      <c r="BN167" s="187"/>
    </row>
    <row r="168" spans="1:66">
      <c r="A168" s="187"/>
      <c r="B168" s="187"/>
      <c r="C168" s="191"/>
      <c r="D168" s="191"/>
      <c r="E168" s="187"/>
      <c r="F168" s="187"/>
      <c r="G168" s="187"/>
      <c r="H168" s="187"/>
      <c r="I168" s="187"/>
      <c r="J168" s="187"/>
      <c r="K168" s="191"/>
      <c r="L168" s="191"/>
      <c r="M168" s="187"/>
      <c r="N168" s="187"/>
      <c r="O168" s="187"/>
      <c r="P168" s="187"/>
      <c r="Q168" s="187"/>
      <c r="R168" s="187"/>
      <c r="S168" s="187"/>
      <c r="T168" s="187"/>
      <c r="U168" s="187"/>
      <c r="V168" s="187"/>
      <c r="W168" s="187"/>
      <c r="X168" s="187"/>
      <c r="Y168" s="187"/>
      <c r="Z168" s="187"/>
      <c r="AA168" s="187"/>
      <c r="AB168" s="187"/>
      <c r="AC168" s="187"/>
      <c r="AD168" s="187"/>
      <c r="AE168" s="187"/>
      <c r="AF168" s="187"/>
      <c r="AG168" s="187"/>
      <c r="AH168" s="187"/>
      <c r="AI168" s="187"/>
      <c r="AJ168" s="187"/>
      <c r="AK168" s="187"/>
      <c r="AL168" s="187"/>
      <c r="AM168" s="187"/>
      <c r="AN168" s="187"/>
      <c r="AO168" s="187"/>
      <c r="AP168" s="187"/>
      <c r="AQ168" s="187"/>
      <c r="AR168" s="187"/>
      <c r="AS168" s="187"/>
      <c r="AT168" s="187"/>
      <c r="AU168" s="187"/>
      <c r="AV168" s="187"/>
      <c r="AW168" s="187"/>
      <c r="AX168" s="187"/>
      <c r="AY168" s="187"/>
      <c r="AZ168" s="187"/>
      <c r="BA168" s="187"/>
      <c r="BB168" s="187"/>
      <c r="BC168" s="187"/>
      <c r="BD168" s="187"/>
      <c r="BE168" s="187"/>
      <c r="BF168" s="187"/>
      <c r="BG168" s="187"/>
      <c r="BH168" s="187"/>
      <c r="BI168" s="187"/>
      <c r="BJ168" s="187"/>
      <c r="BK168" s="187"/>
      <c r="BL168" s="187"/>
      <c r="BM168" s="187"/>
      <c r="BN168" s="187"/>
    </row>
    <row r="169" spans="1:66">
      <c r="A169" s="187"/>
      <c r="B169" s="187"/>
      <c r="C169" s="191"/>
      <c r="D169" s="191"/>
      <c r="E169" s="187"/>
      <c r="F169" s="187"/>
      <c r="G169" s="187"/>
      <c r="H169" s="187"/>
      <c r="I169" s="187"/>
      <c r="J169" s="187"/>
      <c r="K169" s="191"/>
      <c r="L169" s="191"/>
      <c r="M169" s="187"/>
      <c r="N169" s="187"/>
      <c r="O169" s="187"/>
      <c r="P169" s="187"/>
      <c r="Q169" s="187"/>
      <c r="R169" s="187"/>
      <c r="S169" s="187"/>
      <c r="T169" s="187"/>
      <c r="U169" s="187"/>
      <c r="V169" s="187"/>
      <c r="W169" s="187"/>
      <c r="X169" s="187"/>
      <c r="Y169" s="187"/>
      <c r="Z169" s="187"/>
      <c r="AA169" s="187"/>
      <c r="AB169" s="187"/>
      <c r="AC169" s="187"/>
      <c r="AD169" s="187"/>
      <c r="AE169" s="187"/>
      <c r="AF169" s="187"/>
      <c r="AG169" s="187"/>
      <c r="AH169" s="187"/>
      <c r="AI169" s="187"/>
      <c r="AJ169" s="187"/>
      <c r="AK169" s="187"/>
      <c r="AL169" s="187"/>
      <c r="AM169" s="187"/>
      <c r="AN169" s="187"/>
      <c r="AO169" s="187"/>
      <c r="AP169" s="187"/>
      <c r="AQ169" s="187"/>
      <c r="AR169" s="187"/>
      <c r="AS169" s="187"/>
      <c r="AT169" s="187"/>
      <c r="AU169" s="187"/>
      <c r="AV169" s="187"/>
      <c r="AW169" s="187"/>
      <c r="AX169" s="187"/>
      <c r="AY169" s="187"/>
      <c r="AZ169" s="187"/>
      <c r="BA169" s="187"/>
      <c r="BB169" s="187"/>
      <c r="BC169" s="187"/>
      <c r="BD169" s="187"/>
      <c r="BE169" s="187"/>
      <c r="BF169" s="187"/>
      <c r="BG169" s="187"/>
      <c r="BH169" s="187"/>
      <c r="BI169" s="187"/>
      <c r="BJ169" s="187"/>
      <c r="BK169" s="187"/>
      <c r="BL169" s="187"/>
      <c r="BM169" s="187"/>
      <c r="BN169" s="187"/>
    </row>
    <row r="170" spans="1:66">
      <c r="A170" s="187"/>
      <c r="B170" s="187"/>
      <c r="C170" s="191"/>
      <c r="D170" s="191"/>
      <c r="E170" s="187"/>
      <c r="F170" s="187"/>
      <c r="G170" s="187"/>
      <c r="H170" s="187"/>
      <c r="I170" s="187"/>
      <c r="J170" s="187"/>
      <c r="K170" s="191"/>
      <c r="L170" s="191"/>
      <c r="M170" s="187"/>
      <c r="N170" s="187"/>
      <c r="O170" s="187"/>
      <c r="P170" s="187"/>
      <c r="Q170" s="187"/>
      <c r="R170" s="187"/>
      <c r="S170" s="187"/>
      <c r="T170" s="187"/>
      <c r="U170" s="187"/>
      <c r="V170" s="187"/>
      <c r="W170" s="187"/>
      <c r="X170" s="187"/>
      <c r="Y170" s="187"/>
      <c r="Z170" s="187"/>
      <c r="AA170" s="187"/>
      <c r="AB170" s="187"/>
      <c r="AC170" s="187"/>
      <c r="AD170" s="187"/>
      <c r="AE170" s="187"/>
      <c r="AF170" s="187"/>
      <c r="AG170" s="187"/>
      <c r="AH170" s="187"/>
      <c r="AI170" s="187"/>
      <c r="AJ170" s="187"/>
      <c r="AK170" s="187"/>
      <c r="AL170" s="187"/>
      <c r="AM170" s="187"/>
      <c r="AN170" s="187"/>
      <c r="AO170" s="187"/>
      <c r="AP170" s="187"/>
      <c r="AQ170" s="187"/>
      <c r="AR170" s="187"/>
      <c r="AS170" s="187"/>
      <c r="AT170" s="187"/>
      <c r="AU170" s="187"/>
      <c r="AV170" s="187"/>
      <c r="AW170" s="187"/>
      <c r="AX170" s="187"/>
      <c r="AY170" s="187"/>
      <c r="AZ170" s="187"/>
      <c r="BA170" s="187"/>
      <c r="BB170" s="187"/>
      <c r="BC170" s="187"/>
      <c r="BD170" s="187"/>
      <c r="BE170" s="187"/>
      <c r="BF170" s="187"/>
      <c r="BG170" s="187"/>
      <c r="BH170" s="187"/>
      <c r="BI170" s="187"/>
      <c r="BJ170" s="187"/>
      <c r="BK170" s="187"/>
      <c r="BL170" s="187"/>
      <c r="BM170" s="187"/>
      <c r="BN170" s="187"/>
    </row>
    <row r="171" spans="1:66">
      <c r="A171" s="187"/>
      <c r="B171" s="187"/>
      <c r="C171" s="191"/>
      <c r="D171" s="191"/>
      <c r="E171" s="187"/>
      <c r="F171" s="187"/>
      <c r="G171" s="187"/>
      <c r="H171" s="187"/>
      <c r="I171" s="187"/>
      <c r="J171" s="187"/>
      <c r="K171" s="191"/>
      <c r="L171" s="191"/>
      <c r="M171" s="187"/>
      <c r="N171" s="187"/>
      <c r="O171" s="187"/>
      <c r="P171" s="187"/>
      <c r="Q171" s="187"/>
      <c r="R171" s="187"/>
      <c r="S171" s="187"/>
      <c r="T171" s="187"/>
      <c r="U171" s="187"/>
      <c r="V171" s="187"/>
      <c r="W171" s="187"/>
      <c r="X171" s="187"/>
      <c r="Y171" s="187"/>
      <c r="Z171" s="187"/>
      <c r="AA171" s="187"/>
      <c r="AB171" s="187"/>
      <c r="AC171" s="187"/>
      <c r="AD171" s="187"/>
      <c r="AE171" s="187"/>
      <c r="AF171" s="187"/>
      <c r="AG171" s="187"/>
      <c r="AH171" s="187"/>
      <c r="AI171" s="187"/>
      <c r="AJ171" s="187"/>
      <c r="AK171" s="187"/>
      <c r="AL171" s="187"/>
      <c r="AM171" s="187"/>
      <c r="AN171" s="187"/>
      <c r="AO171" s="187"/>
      <c r="AP171" s="187"/>
      <c r="AQ171" s="187"/>
      <c r="AR171" s="187"/>
      <c r="AS171" s="187"/>
      <c r="AT171" s="187"/>
      <c r="AU171" s="187"/>
      <c r="AV171" s="187"/>
      <c r="AW171" s="187"/>
      <c r="AX171" s="187"/>
      <c r="AY171" s="187"/>
      <c r="AZ171" s="187"/>
      <c r="BA171" s="187"/>
      <c r="BB171" s="187"/>
      <c r="BC171" s="187"/>
      <c r="BD171" s="187"/>
      <c r="BE171" s="187"/>
      <c r="BF171" s="187"/>
      <c r="BG171" s="187"/>
      <c r="BH171" s="187"/>
      <c r="BI171" s="187"/>
      <c r="BJ171" s="187"/>
      <c r="BK171" s="187"/>
      <c r="BL171" s="187"/>
      <c r="BM171" s="187"/>
      <c r="BN171" s="187"/>
    </row>
    <row r="172" spans="1:66">
      <c r="A172" s="187"/>
      <c r="B172" s="187"/>
      <c r="C172" s="191"/>
      <c r="D172" s="191"/>
      <c r="E172" s="187"/>
      <c r="F172" s="187"/>
      <c r="G172" s="187"/>
      <c r="H172" s="187"/>
      <c r="I172" s="187"/>
      <c r="J172" s="187"/>
      <c r="K172" s="191"/>
      <c r="L172" s="191"/>
      <c r="M172" s="187"/>
      <c r="N172" s="187"/>
      <c r="O172" s="187"/>
      <c r="P172" s="187"/>
      <c r="Q172" s="187"/>
      <c r="R172" s="187"/>
      <c r="S172" s="187"/>
      <c r="T172" s="187"/>
      <c r="U172" s="187"/>
      <c r="V172" s="187"/>
      <c r="W172" s="187"/>
      <c r="X172" s="187"/>
      <c r="Y172" s="187"/>
      <c r="Z172" s="187"/>
      <c r="AA172" s="187"/>
      <c r="AB172" s="187"/>
      <c r="AC172" s="187"/>
      <c r="AD172" s="187"/>
      <c r="AE172" s="187"/>
      <c r="AF172" s="187"/>
      <c r="AG172" s="187"/>
      <c r="AH172" s="187"/>
      <c r="AI172" s="187"/>
      <c r="AJ172" s="187"/>
      <c r="AK172" s="187"/>
      <c r="AL172" s="187"/>
      <c r="AM172" s="187"/>
      <c r="AN172" s="187"/>
      <c r="AO172" s="187"/>
      <c r="AP172" s="187"/>
      <c r="AQ172" s="187"/>
      <c r="AR172" s="187"/>
      <c r="AS172" s="187"/>
      <c r="AT172" s="187"/>
      <c r="AU172" s="187"/>
      <c r="AV172" s="187"/>
      <c r="AW172" s="187"/>
      <c r="AX172" s="187"/>
      <c r="AY172" s="187"/>
      <c r="AZ172" s="187"/>
      <c r="BA172" s="187"/>
      <c r="BB172" s="187"/>
      <c r="BC172" s="187"/>
      <c r="BD172" s="187"/>
      <c r="BE172" s="187"/>
      <c r="BF172" s="187"/>
      <c r="BG172" s="187"/>
      <c r="BH172" s="187"/>
      <c r="BI172" s="187"/>
      <c r="BJ172" s="187"/>
      <c r="BK172" s="187"/>
      <c r="BL172" s="187"/>
      <c r="BM172" s="187"/>
      <c r="BN172" s="187"/>
    </row>
    <row r="173" spans="1:66">
      <c r="A173" s="187"/>
      <c r="B173" s="187"/>
      <c r="C173" s="191"/>
      <c r="D173" s="191"/>
      <c r="E173" s="187"/>
      <c r="F173" s="187"/>
      <c r="G173" s="187"/>
      <c r="H173" s="187"/>
      <c r="I173" s="187"/>
      <c r="J173" s="187"/>
      <c r="K173" s="191"/>
      <c r="L173" s="191"/>
      <c r="M173" s="187"/>
      <c r="N173" s="187"/>
      <c r="O173" s="187"/>
      <c r="P173" s="187"/>
      <c r="Q173" s="187"/>
      <c r="R173" s="187"/>
      <c r="S173" s="187"/>
      <c r="T173" s="187"/>
      <c r="U173" s="187"/>
      <c r="V173" s="187"/>
      <c r="W173" s="187"/>
      <c r="X173" s="187"/>
      <c r="Y173" s="187"/>
      <c r="Z173" s="187"/>
      <c r="AA173" s="187"/>
      <c r="AB173" s="187"/>
      <c r="AC173" s="187"/>
      <c r="AD173" s="187"/>
      <c r="AE173" s="187"/>
      <c r="AF173" s="187"/>
      <c r="AG173" s="187"/>
      <c r="AH173" s="187"/>
      <c r="AI173" s="187"/>
      <c r="AJ173" s="187"/>
      <c r="AK173" s="187"/>
      <c r="AL173" s="187"/>
      <c r="AM173" s="187"/>
      <c r="AN173" s="187"/>
      <c r="AO173" s="187"/>
      <c r="AP173" s="187"/>
      <c r="AQ173" s="187"/>
      <c r="AR173" s="187"/>
      <c r="AS173" s="187"/>
      <c r="AT173" s="187"/>
      <c r="AU173" s="187"/>
      <c r="AV173" s="187"/>
      <c r="AW173" s="187"/>
      <c r="AX173" s="187"/>
      <c r="AY173" s="187"/>
      <c r="AZ173" s="187"/>
      <c r="BA173" s="187"/>
      <c r="BB173" s="187"/>
      <c r="BC173" s="187"/>
      <c r="BD173" s="187"/>
      <c r="BE173" s="187"/>
      <c r="BF173" s="187"/>
      <c r="BG173" s="187"/>
      <c r="BH173" s="187"/>
      <c r="BI173" s="187"/>
      <c r="BJ173" s="187"/>
      <c r="BK173" s="187"/>
      <c r="BL173" s="187"/>
      <c r="BM173" s="187"/>
      <c r="BN173" s="187"/>
    </row>
    <row r="174" spans="1:66">
      <c r="A174" s="187"/>
      <c r="B174" s="187"/>
      <c r="C174" s="191"/>
      <c r="D174" s="191"/>
      <c r="E174" s="187"/>
      <c r="F174" s="187"/>
      <c r="G174" s="187"/>
      <c r="H174" s="187"/>
      <c r="I174" s="187"/>
      <c r="J174" s="187"/>
      <c r="K174" s="191"/>
      <c r="L174" s="191"/>
      <c r="M174" s="187"/>
      <c r="N174" s="187"/>
      <c r="O174" s="187"/>
      <c r="P174" s="187"/>
      <c r="Q174" s="187"/>
      <c r="R174" s="187"/>
      <c r="S174" s="187"/>
      <c r="T174" s="187"/>
      <c r="U174" s="187"/>
      <c r="V174" s="187"/>
      <c r="W174" s="187"/>
      <c r="X174" s="187"/>
      <c r="Y174" s="187"/>
      <c r="Z174" s="187"/>
      <c r="AA174" s="187"/>
      <c r="AB174" s="187"/>
      <c r="AC174" s="187"/>
      <c r="AD174" s="187"/>
      <c r="AE174" s="187"/>
      <c r="AF174" s="187"/>
      <c r="AG174" s="187"/>
      <c r="AH174" s="187"/>
      <c r="AI174" s="187"/>
      <c r="AJ174" s="187"/>
      <c r="AK174" s="187"/>
      <c r="AL174" s="187"/>
      <c r="AM174" s="187"/>
      <c r="AN174" s="187"/>
      <c r="AO174" s="187"/>
      <c r="AP174" s="187"/>
      <c r="AQ174" s="187"/>
      <c r="AR174" s="187"/>
      <c r="AS174" s="187"/>
      <c r="AT174" s="187"/>
      <c r="AU174" s="187"/>
      <c r="AV174" s="187"/>
      <c r="AW174" s="187"/>
      <c r="AX174" s="187"/>
      <c r="AY174" s="187"/>
      <c r="AZ174" s="187"/>
      <c r="BA174" s="187"/>
      <c r="BB174" s="187"/>
      <c r="BC174" s="187"/>
      <c r="BD174" s="187"/>
      <c r="BE174" s="187"/>
      <c r="BF174" s="187"/>
      <c r="BG174" s="187"/>
      <c r="BH174" s="187"/>
      <c r="BI174" s="187"/>
      <c r="BJ174" s="187"/>
      <c r="BK174" s="187"/>
      <c r="BL174" s="187"/>
      <c r="BM174" s="187"/>
      <c r="BN174" s="187"/>
    </row>
    <row r="175" spans="1:66">
      <c r="A175" s="187"/>
      <c r="B175" s="187"/>
      <c r="C175" s="191"/>
      <c r="D175" s="191"/>
      <c r="E175" s="187"/>
      <c r="F175" s="187"/>
      <c r="G175" s="187"/>
      <c r="H175" s="187"/>
      <c r="I175" s="187"/>
      <c r="J175" s="187"/>
      <c r="K175" s="191"/>
      <c r="L175" s="191"/>
      <c r="M175" s="187"/>
      <c r="N175" s="187"/>
      <c r="O175" s="187"/>
      <c r="P175" s="187"/>
      <c r="Q175" s="187"/>
      <c r="R175" s="187"/>
      <c r="S175" s="187"/>
      <c r="T175" s="187"/>
      <c r="U175" s="187"/>
      <c r="V175" s="187"/>
      <c r="W175" s="187"/>
      <c r="X175" s="187"/>
      <c r="Y175" s="187"/>
      <c r="Z175" s="187"/>
      <c r="AA175" s="187"/>
      <c r="AB175" s="187"/>
      <c r="AC175" s="187"/>
      <c r="AD175" s="187"/>
      <c r="AE175" s="187"/>
      <c r="AF175" s="187"/>
      <c r="AG175" s="187"/>
      <c r="AH175" s="187"/>
      <c r="AI175" s="187"/>
      <c r="AJ175" s="187"/>
      <c r="AK175" s="187"/>
      <c r="AL175" s="187"/>
      <c r="AM175" s="187"/>
      <c r="AN175" s="187"/>
      <c r="AO175" s="187"/>
      <c r="AP175" s="187"/>
      <c r="AQ175" s="187"/>
      <c r="AR175" s="187"/>
      <c r="AS175" s="187"/>
      <c r="AT175" s="187"/>
      <c r="AU175" s="187"/>
      <c r="AV175" s="187"/>
      <c r="AW175" s="187"/>
      <c r="AX175" s="187"/>
      <c r="AY175" s="187"/>
      <c r="AZ175" s="187"/>
      <c r="BA175" s="187"/>
      <c r="BB175" s="187"/>
      <c r="BC175" s="187"/>
      <c r="BD175" s="187"/>
      <c r="BE175" s="187"/>
      <c r="BF175" s="187"/>
      <c r="BG175" s="187"/>
      <c r="BH175" s="187"/>
      <c r="BI175" s="187"/>
      <c r="BJ175" s="187"/>
      <c r="BK175" s="187"/>
      <c r="BL175" s="187"/>
      <c r="BM175" s="187"/>
      <c r="BN175" s="187"/>
    </row>
    <row r="176" spans="1:66">
      <c r="A176" s="187"/>
      <c r="B176" s="187"/>
      <c r="C176" s="191"/>
      <c r="D176" s="191"/>
      <c r="E176" s="187"/>
      <c r="F176" s="187"/>
      <c r="G176" s="187"/>
      <c r="H176" s="187"/>
      <c r="I176" s="187"/>
      <c r="J176" s="187"/>
      <c r="K176" s="191"/>
      <c r="L176" s="191"/>
      <c r="M176" s="187"/>
      <c r="N176" s="187"/>
      <c r="O176" s="187"/>
      <c r="P176" s="187"/>
      <c r="Q176" s="187"/>
      <c r="R176" s="187"/>
      <c r="S176" s="187"/>
      <c r="T176" s="187"/>
      <c r="U176" s="187"/>
      <c r="V176" s="187"/>
      <c r="W176" s="187"/>
      <c r="X176" s="187"/>
      <c r="Y176" s="187"/>
      <c r="Z176" s="187"/>
      <c r="AA176" s="187"/>
      <c r="AB176" s="187"/>
      <c r="AC176" s="187"/>
      <c r="AD176" s="187"/>
      <c r="AE176" s="187"/>
      <c r="AF176" s="187"/>
      <c r="AG176" s="187"/>
      <c r="AH176" s="187"/>
      <c r="AI176" s="187"/>
      <c r="AJ176" s="187"/>
      <c r="AK176" s="187"/>
      <c r="AL176" s="187"/>
      <c r="AM176" s="187"/>
      <c r="AN176" s="187"/>
      <c r="AO176" s="187"/>
      <c r="AP176" s="187"/>
      <c r="AQ176" s="187"/>
      <c r="AR176" s="187"/>
      <c r="AS176" s="187"/>
      <c r="AT176" s="187"/>
      <c r="AU176" s="187"/>
      <c r="AV176" s="187"/>
      <c r="AW176" s="187"/>
      <c r="AX176" s="187"/>
      <c r="AY176" s="187"/>
      <c r="AZ176" s="187"/>
      <c r="BA176" s="187"/>
      <c r="BB176" s="187"/>
      <c r="BC176" s="187"/>
      <c r="BD176" s="187"/>
      <c r="BE176" s="187"/>
      <c r="BF176" s="187"/>
      <c r="BG176" s="187"/>
      <c r="BH176" s="187"/>
      <c r="BI176" s="187"/>
      <c r="BJ176" s="187"/>
      <c r="BK176" s="187"/>
      <c r="BL176" s="187"/>
      <c r="BM176" s="187"/>
      <c r="BN176" s="187"/>
    </row>
    <row r="177" spans="1:66">
      <c r="A177" s="187"/>
      <c r="B177" s="187"/>
      <c r="C177" s="191"/>
      <c r="D177" s="191"/>
      <c r="E177" s="187"/>
      <c r="F177" s="187"/>
      <c r="G177" s="187"/>
      <c r="H177" s="187"/>
      <c r="I177" s="187"/>
      <c r="J177" s="187"/>
      <c r="K177" s="191"/>
      <c r="L177" s="191"/>
      <c r="M177" s="187"/>
      <c r="N177" s="187"/>
      <c r="O177" s="187"/>
      <c r="P177" s="187"/>
      <c r="Q177" s="187"/>
      <c r="R177" s="187"/>
      <c r="S177" s="187"/>
      <c r="T177" s="187"/>
      <c r="U177" s="187"/>
      <c r="V177" s="187"/>
      <c r="W177" s="187"/>
      <c r="X177" s="187"/>
      <c r="Y177" s="187"/>
      <c r="Z177" s="187"/>
      <c r="AA177" s="187"/>
      <c r="AB177" s="187"/>
      <c r="AC177" s="187"/>
      <c r="AD177" s="187"/>
      <c r="AE177" s="187"/>
      <c r="AF177" s="187"/>
      <c r="AG177" s="187"/>
      <c r="AH177" s="187"/>
      <c r="AI177" s="187"/>
      <c r="AJ177" s="187"/>
      <c r="AK177" s="187"/>
      <c r="AL177" s="187"/>
      <c r="AM177" s="187"/>
      <c r="AN177" s="187"/>
      <c r="AO177" s="187"/>
      <c r="AP177" s="187"/>
      <c r="AQ177" s="187"/>
      <c r="AR177" s="187"/>
      <c r="AS177" s="187"/>
      <c r="AT177" s="187"/>
      <c r="AU177" s="187"/>
      <c r="AV177" s="187"/>
      <c r="AW177" s="187"/>
      <c r="AX177" s="187"/>
      <c r="AY177" s="187"/>
      <c r="AZ177" s="187"/>
      <c r="BA177" s="187"/>
      <c r="BB177" s="187"/>
      <c r="BC177" s="187"/>
      <c r="BD177" s="187"/>
      <c r="BE177" s="187"/>
      <c r="BF177" s="187"/>
      <c r="BG177" s="187"/>
      <c r="BH177" s="187"/>
      <c r="BI177" s="187"/>
      <c r="BJ177" s="187"/>
      <c r="BK177" s="187"/>
      <c r="BL177" s="187"/>
      <c r="BM177" s="187"/>
      <c r="BN177" s="187"/>
    </row>
    <row r="178" spans="1:66">
      <c r="A178" s="187"/>
      <c r="B178" s="187"/>
      <c r="C178" s="191"/>
      <c r="D178" s="191"/>
      <c r="E178" s="187"/>
      <c r="F178" s="187"/>
      <c r="G178" s="187"/>
      <c r="H178" s="187"/>
      <c r="I178" s="187"/>
      <c r="J178" s="187"/>
      <c r="K178" s="191"/>
      <c r="L178" s="191"/>
      <c r="M178" s="187"/>
      <c r="N178" s="187"/>
      <c r="O178" s="187"/>
      <c r="P178" s="187"/>
      <c r="Q178" s="187"/>
      <c r="R178" s="187"/>
      <c r="S178" s="187"/>
      <c r="T178" s="187"/>
      <c r="U178" s="187"/>
      <c r="V178" s="187"/>
      <c r="W178" s="187"/>
      <c r="X178" s="187"/>
      <c r="Y178" s="187"/>
      <c r="Z178" s="187"/>
      <c r="AA178" s="187"/>
      <c r="AB178" s="187"/>
      <c r="AC178" s="187"/>
      <c r="AD178" s="187"/>
      <c r="AE178" s="187"/>
      <c r="AF178" s="187"/>
      <c r="AG178" s="187"/>
      <c r="AH178" s="187"/>
      <c r="AI178" s="187"/>
      <c r="AJ178" s="187"/>
      <c r="AK178" s="187"/>
      <c r="AL178" s="187"/>
      <c r="AM178" s="187"/>
      <c r="AN178" s="187"/>
      <c r="AO178" s="187"/>
      <c r="AP178" s="187"/>
      <c r="AQ178" s="187"/>
      <c r="AR178" s="187"/>
      <c r="AS178" s="187"/>
      <c r="AT178" s="187"/>
      <c r="AU178" s="187"/>
      <c r="AV178" s="187"/>
      <c r="AW178" s="187"/>
      <c r="AX178" s="187"/>
      <c r="AY178" s="187"/>
      <c r="AZ178" s="187"/>
      <c r="BA178" s="187"/>
      <c r="BB178" s="187"/>
      <c r="BC178" s="187"/>
      <c r="BD178" s="187"/>
      <c r="BE178" s="187"/>
      <c r="BF178" s="187"/>
      <c r="BG178" s="187"/>
      <c r="BH178" s="187"/>
      <c r="BI178" s="187"/>
      <c r="BJ178" s="187"/>
      <c r="BK178" s="187"/>
      <c r="BL178" s="187"/>
      <c r="BM178" s="187"/>
      <c r="BN178" s="187"/>
    </row>
    <row r="179" spans="1:66">
      <c r="A179" s="187"/>
      <c r="B179" s="187"/>
      <c r="C179" s="191"/>
      <c r="D179" s="191"/>
      <c r="E179" s="187"/>
      <c r="F179" s="187"/>
      <c r="G179" s="187"/>
      <c r="H179" s="187"/>
      <c r="I179" s="187"/>
      <c r="J179" s="187"/>
      <c r="K179" s="191"/>
      <c r="L179" s="191"/>
      <c r="M179" s="187"/>
      <c r="N179" s="187"/>
      <c r="O179" s="187"/>
      <c r="P179" s="187"/>
      <c r="Q179" s="187"/>
      <c r="R179" s="187"/>
      <c r="S179" s="187"/>
      <c r="T179" s="187"/>
      <c r="U179" s="187"/>
      <c r="V179" s="187"/>
      <c r="W179" s="187"/>
      <c r="X179" s="187"/>
      <c r="Y179" s="187"/>
      <c r="Z179" s="187"/>
      <c r="AA179" s="187"/>
      <c r="AB179" s="187"/>
      <c r="AC179" s="187"/>
      <c r="AD179" s="187"/>
      <c r="AE179" s="187"/>
      <c r="AF179" s="187"/>
      <c r="AG179" s="187"/>
      <c r="AH179" s="187"/>
      <c r="AI179" s="187"/>
      <c r="AJ179" s="187"/>
      <c r="AK179" s="187"/>
      <c r="AL179" s="187"/>
      <c r="AM179" s="187"/>
      <c r="AN179" s="187"/>
      <c r="AO179" s="187"/>
      <c r="AP179" s="187"/>
      <c r="AQ179" s="187"/>
      <c r="AR179" s="187"/>
      <c r="AS179" s="187"/>
      <c r="AT179" s="187"/>
      <c r="AU179" s="187"/>
      <c r="AV179" s="187"/>
      <c r="AW179" s="187"/>
      <c r="AX179" s="187"/>
      <c r="AY179" s="187"/>
      <c r="AZ179" s="187"/>
      <c r="BA179" s="187"/>
      <c r="BB179" s="187"/>
      <c r="BC179" s="187"/>
      <c r="BD179" s="187"/>
      <c r="BE179" s="187"/>
      <c r="BF179" s="187"/>
      <c r="BG179" s="187"/>
      <c r="BH179" s="187"/>
      <c r="BI179" s="187"/>
      <c r="BJ179" s="187"/>
      <c r="BK179" s="187"/>
      <c r="BL179" s="187"/>
      <c r="BM179" s="187"/>
      <c r="BN179" s="187"/>
    </row>
    <row r="180" spans="1:66">
      <c r="A180" s="187"/>
      <c r="B180" s="187"/>
      <c r="C180" s="191"/>
      <c r="D180" s="191"/>
      <c r="E180" s="187"/>
      <c r="F180" s="187"/>
      <c r="G180" s="187"/>
      <c r="H180" s="187"/>
      <c r="I180" s="187"/>
      <c r="J180" s="187"/>
      <c r="K180" s="191"/>
      <c r="L180" s="191"/>
      <c r="M180" s="187"/>
      <c r="N180" s="187"/>
      <c r="O180" s="187"/>
      <c r="P180" s="187"/>
      <c r="Q180" s="187"/>
      <c r="R180" s="187"/>
      <c r="S180" s="187"/>
      <c r="T180" s="187"/>
      <c r="U180" s="187"/>
      <c r="V180" s="187"/>
      <c r="W180" s="187"/>
      <c r="X180" s="187"/>
      <c r="Y180" s="187"/>
      <c r="Z180" s="187"/>
      <c r="AA180" s="187"/>
      <c r="AB180" s="187"/>
      <c r="AC180" s="187"/>
      <c r="AD180" s="187"/>
      <c r="AE180" s="187"/>
      <c r="AF180" s="187"/>
      <c r="AG180" s="187"/>
      <c r="AH180" s="187"/>
      <c r="AI180" s="187"/>
      <c r="AJ180" s="187"/>
      <c r="AK180" s="187"/>
      <c r="AL180" s="187"/>
      <c r="AM180" s="187"/>
      <c r="AN180" s="187"/>
      <c r="AO180" s="187"/>
      <c r="AP180" s="187"/>
      <c r="AQ180" s="187"/>
      <c r="AR180" s="187"/>
      <c r="AS180" s="187"/>
      <c r="AT180" s="187"/>
      <c r="AU180" s="187"/>
      <c r="AV180" s="187"/>
      <c r="AW180" s="187"/>
      <c r="AX180" s="187"/>
      <c r="AY180" s="187"/>
      <c r="AZ180" s="187"/>
      <c r="BA180" s="187"/>
      <c r="BB180" s="187"/>
      <c r="BC180" s="187"/>
      <c r="BD180" s="187"/>
      <c r="BE180" s="187"/>
      <c r="BF180" s="187"/>
      <c r="BG180" s="187"/>
      <c r="BH180" s="187"/>
      <c r="BI180" s="187"/>
      <c r="BJ180" s="187"/>
      <c r="BK180" s="187"/>
      <c r="BL180" s="187"/>
      <c r="BM180" s="187"/>
      <c r="BN180" s="187"/>
    </row>
    <row r="181" spans="1:66">
      <c r="A181" s="187"/>
      <c r="B181" s="187"/>
      <c r="C181" s="191"/>
      <c r="D181" s="191"/>
      <c r="E181" s="187"/>
      <c r="F181" s="187"/>
      <c r="G181" s="187"/>
      <c r="H181" s="187"/>
      <c r="I181" s="187"/>
      <c r="J181" s="187"/>
      <c r="K181" s="191"/>
      <c r="L181" s="191"/>
      <c r="M181" s="187"/>
      <c r="N181" s="187"/>
      <c r="O181" s="187"/>
      <c r="P181" s="187"/>
      <c r="Q181" s="187"/>
      <c r="R181" s="187"/>
      <c r="S181" s="187"/>
      <c r="T181" s="187"/>
      <c r="U181" s="187"/>
      <c r="V181" s="187"/>
      <c r="W181" s="187"/>
      <c r="X181" s="187"/>
      <c r="Y181" s="187"/>
      <c r="Z181" s="187"/>
      <c r="AA181" s="187"/>
      <c r="AB181" s="187"/>
      <c r="AC181" s="187"/>
      <c r="AD181" s="187"/>
      <c r="AE181" s="187"/>
      <c r="AF181" s="187"/>
      <c r="AG181" s="187"/>
      <c r="AH181" s="187"/>
      <c r="AI181" s="187"/>
      <c r="AJ181" s="187"/>
      <c r="AK181" s="187"/>
      <c r="AL181" s="187"/>
      <c r="AM181" s="187"/>
      <c r="AN181" s="187"/>
      <c r="AO181" s="187"/>
      <c r="AP181" s="187"/>
      <c r="AQ181" s="187"/>
      <c r="AR181" s="187"/>
      <c r="AS181" s="187"/>
      <c r="AT181" s="187"/>
      <c r="AU181" s="187"/>
      <c r="AV181" s="187"/>
      <c r="AW181" s="187"/>
      <c r="AX181" s="187"/>
      <c r="AY181" s="187"/>
      <c r="AZ181" s="187"/>
      <c r="BA181" s="187"/>
      <c r="BB181" s="187"/>
      <c r="BC181" s="187"/>
      <c r="BD181" s="187"/>
      <c r="BE181" s="187"/>
      <c r="BF181" s="187"/>
      <c r="BG181" s="187"/>
      <c r="BH181" s="187"/>
      <c r="BI181" s="187"/>
      <c r="BJ181" s="187"/>
      <c r="BK181" s="187"/>
      <c r="BL181" s="187"/>
      <c r="BM181" s="187"/>
      <c r="BN181" s="187"/>
    </row>
    <row r="182" spans="1:66">
      <c r="A182" s="187"/>
      <c r="B182" s="187"/>
      <c r="C182" s="191"/>
      <c r="D182" s="191"/>
      <c r="E182" s="187"/>
      <c r="F182" s="187"/>
      <c r="G182" s="187"/>
      <c r="H182" s="187"/>
      <c r="I182" s="187"/>
      <c r="J182" s="187"/>
      <c r="K182" s="191"/>
      <c r="L182" s="191"/>
      <c r="M182" s="187"/>
      <c r="N182" s="187"/>
      <c r="O182" s="187"/>
      <c r="P182" s="187"/>
      <c r="Q182" s="187"/>
      <c r="R182" s="187"/>
      <c r="S182" s="187"/>
      <c r="T182" s="187"/>
      <c r="U182" s="187"/>
      <c r="V182" s="187"/>
      <c r="W182" s="187"/>
      <c r="X182" s="187"/>
      <c r="Y182" s="187"/>
      <c r="Z182" s="187"/>
      <c r="AA182" s="187"/>
      <c r="AB182" s="187"/>
      <c r="AC182" s="187"/>
      <c r="AD182" s="187"/>
      <c r="AE182" s="187"/>
      <c r="AF182" s="187"/>
      <c r="AG182" s="187"/>
      <c r="AH182" s="187"/>
      <c r="AI182" s="187"/>
      <c r="AJ182" s="187"/>
      <c r="AK182" s="187"/>
      <c r="AL182" s="187"/>
      <c r="AM182" s="187"/>
      <c r="AN182" s="187"/>
      <c r="AO182" s="187"/>
      <c r="AP182" s="187"/>
      <c r="AQ182" s="187"/>
      <c r="AR182" s="187"/>
      <c r="AS182" s="187"/>
      <c r="AT182" s="187"/>
      <c r="AU182" s="187"/>
      <c r="AV182" s="187"/>
      <c r="AW182" s="187"/>
      <c r="AX182" s="187"/>
      <c r="AY182" s="187"/>
      <c r="AZ182" s="187"/>
      <c r="BA182" s="187"/>
      <c r="BB182" s="187"/>
      <c r="BC182" s="187"/>
      <c r="BD182" s="187"/>
      <c r="BE182" s="187"/>
      <c r="BF182" s="187"/>
      <c r="BG182" s="187"/>
      <c r="BH182" s="187"/>
      <c r="BI182" s="187"/>
      <c r="BJ182" s="187"/>
      <c r="BK182" s="187"/>
      <c r="BL182" s="187"/>
      <c r="BM182" s="187"/>
      <c r="BN182" s="187"/>
    </row>
    <row r="183" spans="1:66">
      <c r="A183" s="187"/>
      <c r="B183" s="187"/>
      <c r="C183" s="191"/>
      <c r="D183" s="191"/>
      <c r="E183" s="187"/>
      <c r="F183" s="187"/>
      <c r="G183" s="187"/>
      <c r="H183" s="187"/>
      <c r="I183" s="187"/>
      <c r="J183" s="187"/>
      <c r="K183" s="191"/>
      <c r="L183" s="191"/>
      <c r="M183" s="187"/>
      <c r="N183" s="187"/>
      <c r="O183" s="187"/>
      <c r="P183" s="187"/>
      <c r="Q183" s="187"/>
      <c r="R183" s="187"/>
      <c r="S183" s="187"/>
      <c r="T183" s="187"/>
      <c r="U183" s="187"/>
      <c r="V183" s="187"/>
      <c r="W183" s="187"/>
      <c r="X183" s="187"/>
      <c r="Y183" s="187"/>
      <c r="Z183" s="187"/>
      <c r="AA183" s="187"/>
      <c r="AB183" s="187"/>
      <c r="AC183" s="187"/>
      <c r="AD183" s="187"/>
      <c r="AE183" s="187"/>
      <c r="AF183" s="187"/>
      <c r="AG183" s="187"/>
      <c r="AH183" s="187"/>
      <c r="AI183" s="187"/>
      <c r="AJ183" s="187"/>
      <c r="AK183" s="187"/>
      <c r="AL183" s="187"/>
      <c r="AM183" s="187"/>
      <c r="AN183" s="187"/>
      <c r="AO183" s="187"/>
      <c r="AP183" s="187"/>
      <c r="AQ183" s="187"/>
      <c r="AR183" s="187"/>
      <c r="AS183" s="187"/>
      <c r="AT183" s="187"/>
      <c r="AU183" s="187"/>
      <c r="AV183" s="187"/>
      <c r="AW183" s="187"/>
      <c r="AX183" s="187"/>
      <c r="AY183" s="187"/>
      <c r="AZ183" s="187"/>
      <c r="BA183" s="187"/>
      <c r="BB183" s="187"/>
      <c r="BC183" s="187"/>
      <c r="BD183" s="187"/>
      <c r="BE183" s="187"/>
      <c r="BF183" s="187"/>
      <c r="BG183" s="187"/>
      <c r="BH183" s="187"/>
      <c r="BI183" s="187"/>
      <c r="BJ183" s="187"/>
      <c r="BK183" s="187"/>
      <c r="BL183" s="187"/>
      <c r="BM183" s="187"/>
      <c r="BN183" s="187"/>
    </row>
    <row r="184" spans="1:66">
      <c r="A184" s="187"/>
      <c r="B184" s="187"/>
      <c r="C184" s="191"/>
      <c r="D184" s="191"/>
      <c r="E184" s="187"/>
      <c r="F184" s="187"/>
      <c r="G184" s="187"/>
      <c r="H184" s="187"/>
      <c r="I184" s="187"/>
      <c r="J184" s="187"/>
      <c r="K184" s="191"/>
      <c r="L184" s="191"/>
      <c r="M184" s="187"/>
      <c r="N184" s="187"/>
      <c r="O184" s="187"/>
      <c r="P184" s="187"/>
      <c r="Q184" s="187"/>
      <c r="R184" s="187"/>
      <c r="S184" s="187"/>
      <c r="T184" s="187"/>
      <c r="U184" s="187"/>
      <c r="V184" s="187"/>
      <c r="W184" s="187"/>
      <c r="X184" s="187"/>
      <c r="Y184" s="187"/>
      <c r="Z184" s="187"/>
      <c r="AA184" s="187"/>
      <c r="AB184" s="187"/>
      <c r="AC184" s="187"/>
      <c r="AD184" s="187"/>
      <c r="AE184" s="187"/>
      <c r="AF184" s="187"/>
      <c r="AG184" s="187"/>
      <c r="AH184" s="187"/>
      <c r="AI184" s="187"/>
      <c r="AJ184" s="187"/>
      <c r="AK184" s="187"/>
      <c r="AL184" s="187"/>
      <c r="AM184" s="187"/>
      <c r="AN184" s="187"/>
      <c r="AO184" s="187"/>
      <c r="AP184" s="187"/>
      <c r="AQ184" s="187"/>
      <c r="AR184" s="187"/>
      <c r="AS184" s="187"/>
      <c r="AT184" s="187"/>
      <c r="AU184" s="187"/>
      <c r="AV184" s="187"/>
      <c r="AW184" s="187"/>
      <c r="AX184" s="187"/>
      <c r="AY184" s="187"/>
      <c r="AZ184" s="187"/>
      <c r="BA184" s="187"/>
      <c r="BB184" s="187"/>
      <c r="BC184" s="187"/>
      <c r="BD184" s="187"/>
      <c r="BE184" s="187"/>
      <c r="BF184" s="187"/>
      <c r="BG184" s="187"/>
      <c r="BH184" s="187"/>
      <c r="BI184" s="187"/>
      <c r="BJ184" s="187"/>
      <c r="BK184" s="187"/>
      <c r="BL184" s="187"/>
      <c r="BM184" s="187"/>
      <c r="BN184" s="187"/>
    </row>
    <row r="185" spans="1:66">
      <c r="A185" s="187"/>
      <c r="B185" s="187"/>
      <c r="C185" s="191"/>
      <c r="D185" s="191"/>
      <c r="E185" s="187"/>
      <c r="F185" s="187"/>
      <c r="G185" s="187"/>
      <c r="H185" s="187"/>
      <c r="I185" s="187"/>
      <c r="J185" s="187"/>
      <c r="K185" s="191"/>
      <c r="L185" s="191"/>
      <c r="M185" s="187"/>
      <c r="N185" s="187"/>
      <c r="O185" s="187"/>
      <c r="P185" s="187"/>
      <c r="Q185" s="187"/>
      <c r="R185" s="187"/>
      <c r="S185" s="187"/>
      <c r="T185" s="187"/>
      <c r="U185" s="187"/>
      <c r="V185" s="187"/>
      <c r="W185" s="187"/>
      <c r="X185" s="187"/>
      <c r="Y185" s="187"/>
      <c r="Z185" s="187"/>
      <c r="AA185" s="187"/>
      <c r="AB185" s="187"/>
      <c r="AC185" s="187"/>
      <c r="AD185" s="187"/>
      <c r="AE185" s="187"/>
      <c r="AF185" s="187"/>
      <c r="AG185" s="187"/>
      <c r="AH185" s="187"/>
      <c r="AI185" s="187"/>
      <c r="AJ185" s="187"/>
      <c r="AK185" s="187"/>
      <c r="AL185" s="187"/>
      <c r="AM185" s="187"/>
      <c r="AN185" s="187"/>
      <c r="AO185" s="187"/>
      <c r="AP185" s="187"/>
      <c r="AQ185" s="187"/>
      <c r="AR185" s="187"/>
      <c r="AS185" s="187"/>
      <c r="AT185" s="187"/>
      <c r="AU185" s="187"/>
      <c r="AV185" s="187"/>
      <c r="AW185" s="187"/>
      <c r="AX185" s="187"/>
      <c r="AY185" s="187"/>
      <c r="AZ185" s="187"/>
      <c r="BA185" s="187"/>
      <c r="BB185" s="187"/>
      <c r="BC185" s="187"/>
      <c r="BD185" s="187"/>
      <c r="BE185" s="187"/>
      <c r="BF185" s="187"/>
      <c r="BG185" s="187"/>
      <c r="BH185" s="187"/>
      <c r="BI185" s="187"/>
      <c r="BJ185" s="187"/>
      <c r="BK185" s="187"/>
      <c r="BL185" s="187"/>
      <c r="BM185" s="187"/>
      <c r="BN185" s="187"/>
    </row>
    <row r="186" spans="1:66">
      <c r="A186" s="187"/>
      <c r="B186" s="187"/>
      <c r="C186" s="191"/>
      <c r="D186" s="191"/>
      <c r="E186" s="187"/>
      <c r="F186" s="187"/>
      <c r="G186" s="187"/>
      <c r="H186" s="187"/>
      <c r="I186" s="187"/>
      <c r="J186" s="187"/>
      <c r="K186" s="191"/>
      <c r="L186" s="191"/>
      <c r="M186" s="187"/>
      <c r="N186" s="187"/>
      <c r="O186" s="187"/>
      <c r="P186" s="187"/>
      <c r="Q186" s="187"/>
      <c r="R186" s="187"/>
      <c r="S186" s="187"/>
      <c r="T186" s="187"/>
      <c r="U186" s="187"/>
      <c r="V186" s="187"/>
      <c r="W186" s="187"/>
      <c r="X186" s="187"/>
      <c r="Y186" s="187"/>
      <c r="Z186" s="187"/>
      <c r="AA186" s="187"/>
      <c r="AB186" s="187"/>
      <c r="AC186" s="187"/>
      <c r="AD186" s="187"/>
      <c r="AE186" s="187"/>
      <c r="AF186" s="187"/>
      <c r="AG186" s="187"/>
      <c r="AH186" s="187"/>
      <c r="AI186" s="187"/>
      <c r="AJ186" s="187"/>
      <c r="AK186" s="187"/>
      <c r="AL186" s="187"/>
      <c r="AM186" s="187"/>
      <c r="AN186" s="187"/>
      <c r="AO186" s="187"/>
      <c r="AP186" s="187"/>
      <c r="AQ186" s="187"/>
      <c r="AR186" s="187"/>
      <c r="AS186" s="187"/>
      <c r="AT186" s="187"/>
      <c r="AU186" s="187"/>
      <c r="AV186" s="187"/>
      <c r="AW186" s="187"/>
      <c r="AX186" s="187"/>
      <c r="AY186" s="187"/>
      <c r="AZ186" s="187"/>
      <c r="BA186" s="187"/>
      <c r="BB186" s="187"/>
      <c r="BC186" s="187"/>
      <c r="BD186" s="187"/>
      <c r="BE186" s="187"/>
      <c r="BF186" s="187"/>
      <c r="BG186" s="187"/>
      <c r="BH186" s="187"/>
      <c r="BI186" s="187"/>
      <c r="BJ186" s="187"/>
      <c r="BK186" s="187"/>
      <c r="BL186" s="187"/>
      <c r="BM186" s="187"/>
      <c r="BN186" s="187"/>
    </row>
    <row r="187" spans="1:66">
      <c r="A187" s="187"/>
      <c r="B187" s="187"/>
      <c r="C187" s="191"/>
      <c r="D187" s="191"/>
      <c r="E187" s="187"/>
      <c r="F187" s="187"/>
      <c r="G187" s="187"/>
      <c r="H187" s="187"/>
      <c r="I187" s="187"/>
      <c r="J187" s="187"/>
      <c r="K187" s="191"/>
      <c r="L187" s="191"/>
      <c r="M187" s="187"/>
      <c r="N187" s="187"/>
      <c r="O187" s="187"/>
      <c r="P187" s="187"/>
      <c r="Q187" s="187"/>
      <c r="R187" s="187"/>
      <c r="S187" s="187"/>
      <c r="T187" s="187"/>
      <c r="U187" s="187"/>
      <c r="V187" s="187"/>
      <c r="W187" s="187"/>
      <c r="X187" s="187"/>
      <c r="Y187" s="187"/>
      <c r="Z187" s="187"/>
      <c r="AA187" s="187"/>
      <c r="AB187" s="187"/>
      <c r="AC187" s="187"/>
      <c r="AD187" s="187"/>
      <c r="AE187" s="187"/>
      <c r="AF187" s="187"/>
      <c r="AG187" s="187"/>
      <c r="AH187" s="187"/>
      <c r="AI187" s="187"/>
      <c r="AJ187" s="187"/>
      <c r="AK187" s="187"/>
      <c r="AL187" s="187"/>
      <c r="AM187" s="187"/>
      <c r="AN187" s="187"/>
      <c r="AO187" s="187"/>
      <c r="AP187" s="187"/>
      <c r="AQ187" s="187"/>
      <c r="AR187" s="187"/>
      <c r="AS187" s="187"/>
      <c r="AT187" s="187"/>
      <c r="AU187" s="187"/>
      <c r="AV187" s="187"/>
      <c r="AW187" s="187"/>
      <c r="AX187" s="187"/>
      <c r="AY187" s="187"/>
      <c r="AZ187" s="187"/>
      <c r="BA187" s="187"/>
      <c r="BB187" s="187"/>
      <c r="BC187" s="187"/>
      <c r="BD187" s="187"/>
      <c r="BE187" s="187"/>
      <c r="BF187" s="187"/>
      <c r="BG187" s="187"/>
      <c r="BH187" s="187"/>
      <c r="BI187" s="187"/>
      <c r="BJ187" s="187"/>
      <c r="BK187" s="187"/>
      <c r="BL187" s="187"/>
      <c r="BM187" s="187"/>
      <c r="BN187" s="187"/>
    </row>
    <row r="188" spans="1:66">
      <c r="A188" s="187"/>
      <c r="B188" s="187"/>
      <c r="C188" s="191"/>
      <c r="D188" s="191"/>
      <c r="E188" s="187"/>
      <c r="F188" s="187"/>
      <c r="G188" s="187"/>
      <c r="H188" s="187"/>
      <c r="I188" s="187"/>
      <c r="J188" s="187"/>
      <c r="K188" s="191"/>
      <c r="L188" s="191"/>
      <c r="M188" s="187"/>
      <c r="N188" s="187"/>
      <c r="O188" s="187"/>
      <c r="P188" s="187"/>
      <c r="Q188" s="187"/>
      <c r="R188" s="187"/>
      <c r="S188" s="187"/>
      <c r="T188" s="187"/>
      <c r="U188" s="187"/>
      <c r="V188" s="187"/>
      <c r="W188" s="187"/>
      <c r="X188" s="187"/>
      <c r="Y188" s="187"/>
      <c r="Z188" s="187"/>
      <c r="AA188" s="187"/>
      <c r="AB188" s="187"/>
      <c r="AC188" s="187"/>
      <c r="AD188" s="187"/>
      <c r="AE188" s="187"/>
      <c r="AF188" s="187"/>
      <c r="AG188" s="187"/>
      <c r="AH188" s="187"/>
      <c r="AI188" s="187"/>
      <c r="AJ188" s="187"/>
      <c r="AK188" s="187"/>
      <c r="AL188" s="187"/>
      <c r="AM188" s="187"/>
      <c r="AN188" s="187"/>
      <c r="AO188" s="187"/>
      <c r="AP188" s="187"/>
      <c r="AQ188" s="187"/>
      <c r="AR188" s="187"/>
      <c r="AS188" s="187"/>
      <c r="AT188" s="187"/>
      <c r="AU188" s="187"/>
      <c r="AV188" s="187"/>
      <c r="AW188" s="187"/>
      <c r="AX188" s="187"/>
      <c r="AY188" s="187"/>
      <c r="AZ188" s="187"/>
      <c r="BA188" s="187"/>
      <c r="BB188" s="187"/>
      <c r="BC188" s="187"/>
      <c r="BD188" s="187"/>
      <c r="BE188" s="187"/>
      <c r="BF188" s="187"/>
      <c r="BG188" s="187"/>
      <c r="BH188" s="187"/>
      <c r="BI188" s="187"/>
      <c r="BJ188" s="187"/>
      <c r="BK188" s="187"/>
      <c r="BL188" s="187"/>
      <c r="BM188" s="187"/>
      <c r="BN188" s="187"/>
    </row>
    <row r="189" spans="1:66">
      <c r="A189" s="187"/>
      <c r="B189" s="187"/>
      <c r="C189" s="191"/>
      <c r="D189" s="191"/>
      <c r="E189" s="187"/>
      <c r="F189" s="187"/>
      <c r="G189" s="187"/>
      <c r="H189" s="187"/>
      <c r="I189" s="187"/>
      <c r="J189" s="187"/>
      <c r="K189" s="191"/>
      <c r="L189" s="191"/>
      <c r="M189" s="187"/>
      <c r="N189" s="187"/>
      <c r="O189" s="187"/>
      <c r="P189" s="187"/>
      <c r="Q189" s="187"/>
      <c r="R189" s="187"/>
      <c r="S189" s="187"/>
      <c r="T189" s="187"/>
      <c r="U189" s="187"/>
      <c r="V189" s="187"/>
      <c r="W189" s="187"/>
      <c r="X189" s="187"/>
      <c r="Y189" s="187"/>
      <c r="Z189" s="187"/>
      <c r="AA189" s="187"/>
      <c r="AB189" s="187"/>
      <c r="AC189" s="187"/>
      <c r="AD189" s="187"/>
      <c r="AE189" s="187"/>
      <c r="AF189" s="187"/>
      <c r="AG189" s="187"/>
      <c r="AH189" s="187"/>
      <c r="AI189" s="187"/>
      <c r="AJ189" s="187"/>
      <c r="AK189" s="187"/>
      <c r="AL189" s="187"/>
      <c r="AM189" s="187"/>
      <c r="AN189" s="187"/>
      <c r="AO189" s="187"/>
      <c r="AP189" s="187"/>
      <c r="AQ189" s="187"/>
      <c r="AR189" s="187"/>
      <c r="AS189" s="187"/>
      <c r="AT189" s="187"/>
      <c r="AU189" s="187"/>
      <c r="AV189" s="187"/>
      <c r="AW189" s="187"/>
      <c r="AX189" s="187"/>
      <c r="AY189" s="187"/>
      <c r="AZ189" s="187"/>
      <c r="BA189" s="187"/>
      <c r="BB189" s="187"/>
      <c r="BC189" s="187"/>
      <c r="BD189" s="187"/>
      <c r="BE189" s="187"/>
      <c r="BF189" s="187"/>
      <c r="BG189" s="187"/>
      <c r="BH189" s="187"/>
      <c r="BI189" s="187"/>
      <c r="BJ189" s="187"/>
      <c r="BK189" s="187"/>
      <c r="BL189" s="187"/>
      <c r="BM189" s="187"/>
      <c r="BN189" s="187"/>
    </row>
    <row r="190" spans="1:66">
      <c r="A190" s="187"/>
      <c r="B190" s="187"/>
      <c r="C190" s="191"/>
      <c r="D190" s="191"/>
      <c r="E190" s="187"/>
      <c r="F190" s="187"/>
      <c r="G190" s="187"/>
      <c r="H190" s="187"/>
      <c r="I190" s="187"/>
      <c r="J190" s="187"/>
      <c r="K190" s="191"/>
      <c r="L190" s="191"/>
      <c r="M190" s="187"/>
      <c r="N190" s="187"/>
      <c r="O190" s="187"/>
      <c r="P190" s="187"/>
      <c r="Q190" s="187"/>
      <c r="R190" s="187"/>
      <c r="S190" s="187"/>
      <c r="T190" s="187"/>
      <c r="U190" s="187"/>
      <c r="V190" s="187"/>
      <c r="W190" s="187"/>
      <c r="X190" s="187"/>
      <c r="Y190" s="187"/>
      <c r="Z190" s="187"/>
      <c r="AA190" s="187"/>
      <c r="AB190" s="187"/>
      <c r="AC190" s="187"/>
      <c r="AD190" s="187"/>
      <c r="AE190" s="187"/>
      <c r="AF190" s="187"/>
      <c r="AG190" s="187"/>
      <c r="AH190" s="187"/>
      <c r="AI190" s="187"/>
      <c r="AJ190" s="187"/>
      <c r="AK190" s="187"/>
      <c r="AL190" s="187"/>
      <c r="AM190" s="187"/>
      <c r="AN190" s="187"/>
      <c r="AO190" s="187"/>
      <c r="AP190" s="187"/>
      <c r="AQ190" s="187"/>
      <c r="AR190" s="187"/>
      <c r="AS190" s="187"/>
      <c r="AT190" s="187"/>
      <c r="AU190" s="187"/>
      <c r="AV190" s="187"/>
      <c r="AW190" s="187"/>
      <c r="AX190" s="187"/>
      <c r="AY190" s="187"/>
      <c r="AZ190" s="187"/>
      <c r="BA190" s="187"/>
      <c r="BB190" s="187"/>
      <c r="BC190" s="187"/>
      <c r="BD190" s="187"/>
      <c r="BE190" s="187"/>
      <c r="BF190" s="187"/>
      <c r="BG190" s="187"/>
      <c r="BH190" s="187"/>
      <c r="BI190" s="187"/>
      <c r="BJ190" s="187"/>
      <c r="BK190" s="187"/>
      <c r="BL190" s="187"/>
      <c r="BM190" s="187"/>
      <c r="BN190" s="187"/>
    </row>
    <row r="191" spans="1:66">
      <c r="A191" s="187"/>
      <c r="B191" s="187"/>
      <c r="C191" s="191"/>
      <c r="D191" s="191"/>
      <c r="E191" s="187"/>
      <c r="F191" s="187"/>
      <c r="G191" s="187"/>
      <c r="H191" s="187"/>
      <c r="I191" s="187"/>
      <c r="J191" s="187"/>
      <c r="K191" s="191"/>
      <c r="L191" s="191"/>
      <c r="M191" s="187"/>
      <c r="N191" s="187"/>
      <c r="O191" s="187"/>
      <c r="P191" s="187"/>
      <c r="Q191" s="187"/>
      <c r="R191" s="187"/>
      <c r="S191" s="187"/>
      <c r="T191" s="187"/>
      <c r="U191" s="187"/>
      <c r="V191" s="187"/>
      <c r="W191" s="187"/>
      <c r="X191" s="187"/>
      <c r="Y191" s="187"/>
      <c r="Z191" s="187"/>
      <c r="AA191" s="187"/>
      <c r="AB191" s="187"/>
      <c r="AC191" s="187"/>
      <c r="AD191" s="187"/>
      <c r="AE191" s="187"/>
      <c r="AF191" s="187"/>
      <c r="AG191" s="187"/>
      <c r="AH191" s="187"/>
      <c r="AI191" s="187"/>
      <c r="AJ191" s="187"/>
      <c r="AK191" s="187"/>
      <c r="AL191" s="187"/>
      <c r="AM191" s="187"/>
      <c r="AN191" s="187"/>
      <c r="AO191" s="187"/>
      <c r="AP191" s="187"/>
      <c r="AQ191" s="187"/>
      <c r="AR191" s="187"/>
      <c r="AS191" s="187"/>
      <c r="AT191" s="187"/>
      <c r="AU191" s="187"/>
      <c r="AV191" s="187"/>
      <c r="AW191" s="187"/>
      <c r="AX191" s="187"/>
      <c r="AY191" s="187"/>
      <c r="AZ191" s="187"/>
      <c r="BA191" s="187"/>
      <c r="BB191" s="187"/>
      <c r="BC191" s="187"/>
      <c r="BD191" s="187"/>
      <c r="BE191" s="187"/>
      <c r="BF191" s="187"/>
      <c r="BG191" s="187"/>
      <c r="BH191" s="187"/>
      <c r="BI191" s="187"/>
      <c r="BJ191" s="187"/>
      <c r="BK191" s="187"/>
      <c r="BL191" s="187"/>
      <c r="BM191" s="187"/>
      <c r="BN191" s="187"/>
    </row>
    <row r="192" spans="1:66">
      <c r="A192" s="187"/>
      <c r="B192" s="187"/>
      <c r="C192" s="191"/>
      <c r="D192" s="191"/>
      <c r="E192" s="187"/>
      <c r="F192" s="187"/>
      <c r="G192" s="187"/>
      <c r="H192" s="187"/>
      <c r="I192" s="187"/>
      <c r="J192" s="187"/>
      <c r="K192" s="191"/>
      <c r="L192" s="191"/>
      <c r="M192" s="187"/>
      <c r="N192" s="187"/>
      <c r="O192" s="187"/>
      <c r="P192" s="187"/>
      <c r="Q192" s="187"/>
      <c r="R192" s="187"/>
      <c r="S192" s="187"/>
      <c r="T192" s="187"/>
      <c r="U192" s="187"/>
      <c r="V192" s="187"/>
      <c r="W192" s="187"/>
      <c r="X192" s="187"/>
      <c r="Y192" s="187"/>
      <c r="Z192" s="187"/>
      <c r="AA192" s="187"/>
      <c r="AB192" s="187"/>
      <c r="AC192" s="187"/>
      <c r="AD192" s="187"/>
      <c r="AE192" s="187"/>
      <c r="AF192" s="187"/>
      <c r="AG192" s="187"/>
      <c r="AH192" s="187"/>
      <c r="AI192" s="187"/>
      <c r="AJ192" s="187"/>
      <c r="AK192" s="187"/>
      <c r="AL192" s="187"/>
      <c r="AM192" s="187"/>
      <c r="AN192" s="187"/>
      <c r="AO192" s="187"/>
      <c r="AP192" s="187"/>
      <c r="AQ192" s="187"/>
      <c r="AR192" s="187"/>
      <c r="AS192" s="187"/>
      <c r="AT192" s="187"/>
      <c r="AU192" s="187"/>
      <c r="AV192" s="187"/>
      <c r="AW192" s="187"/>
      <c r="AX192" s="187"/>
      <c r="AY192" s="187"/>
      <c r="AZ192" s="187"/>
      <c r="BA192" s="187"/>
      <c r="BB192" s="187"/>
      <c r="BC192" s="187"/>
      <c r="BD192" s="187"/>
      <c r="BE192" s="187"/>
      <c r="BF192" s="187"/>
      <c r="BG192" s="187"/>
      <c r="BH192" s="187"/>
      <c r="BI192" s="187"/>
      <c r="BJ192" s="187"/>
      <c r="BK192" s="187"/>
      <c r="BL192" s="187"/>
      <c r="BM192" s="187"/>
      <c r="BN192" s="187"/>
    </row>
    <row r="193" spans="1:66">
      <c r="A193" s="187"/>
      <c r="B193" s="187"/>
      <c r="C193" s="191"/>
      <c r="D193" s="191"/>
      <c r="E193" s="187"/>
      <c r="F193" s="187"/>
      <c r="G193" s="187"/>
      <c r="H193" s="187"/>
      <c r="I193" s="187"/>
      <c r="J193" s="187"/>
      <c r="K193" s="191"/>
      <c r="L193" s="191"/>
      <c r="M193" s="187"/>
      <c r="N193" s="187"/>
      <c r="O193" s="187"/>
      <c r="P193" s="187"/>
      <c r="Q193" s="187"/>
      <c r="R193" s="187"/>
      <c r="S193" s="187"/>
      <c r="T193" s="187"/>
      <c r="U193" s="187"/>
      <c r="V193" s="187"/>
      <c r="W193" s="187"/>
      <c r="X193" s="187"/>
      <c r="Y193" s="187"/>
      <c r="Z193" s="187"/>
      <c r="AA193" s="187"/>
      <c r="AB193" s="187"/>
      <c r="AC193" s="187"/>
      <c r="AD193" s="187"/>
      <c r="AE193" s="187"/>
      <c r="AF193" s="187"/>
      <c r="AG193" s="187"/>
      <c r="AH193" s="187"/>
      <c r="AI193" s="187"/>
      <c r="AJ193" s="187"/>
      <c r="AK193" s="187"/>
      <c r="AL193" s="187"/>
      <c r="AM193" s="187"/>
      <c r="AN193" s="187"/>
      <c r="AO193" s="187"/>
      <c r="AP193" s="187"/>
      <c r="AQ193" s="187"/>
      <c r="AR193" s="187"/>
      <c r="AS193" s="187"/>
      <c r="AT193" s="187"/>
      <c r="AU193" s="187"/>
      <c r="AV193" s="187"/>
      <c r="AW193" s="187"/>
      <c r="AX193" s="187"/>
      <c r="AY193" s="187"/>
      <c r="AZ193" s="187"/>
      <c r="BA193" s="187"/>
      <c r="BB193" s="187"/>
      <c r="BC193" s="187"/>
      <c r="BD193" s="187"/>
      <c r="BE193" s="187"/>
      <c r="BF193" s="187"/>
      <c r="BG193" s="187"/>
      <c r="BH193" s="187"/>
      <c r="BI193" s="187"/>
      <c r="BJ193" s="187"/>
      <c r="BK193" s="187"/>
      <c r="BL193" s="187"/>
      <c r="BM193" s="187"/>
      <c r="BN193" s="187"/>
    </row>
    <row r="194" spans="1:66">
      <c r="A194" s="187"/>
      <c r="B194" s="187"/>
      <c r="C194" s="191"/>
      <c r="D194" s="191"/>
      <c r="E194" s="187"/>
      <c r="F194" s="187"/>
      <c r="G194" s="187"/>
      <c r="H194" s="187"/>
      <c r="I194" s="187"/>
      <c r="J194" s="187"/>
      <c r="K194" s="191"/>
      <c r="L194" s="191"/>
      <c r="M194" s="187"/>
      <c r="N194" s="187"/>
      <c r="O194" s="187"/>
      <c r="P194" s="187"/>
      <c r="Q194" s="187"/>
      <c r="R194" s="187"/>
      <c r="S194" s="187"/>
      <c r="T194" s="187"/>
      <c r="U194" s="187"/>
      <c r="V194" s="187"/>
      <c r="W194" s="187"/>
      <c r="X194" s="187"/>
      <c r="Y194" s="187"/>
      <c r="Z194" s="187"/>
      <c r="AA194" s="187"/>
      <c r="AB194" s="187"/>
      <c r="AC194" s="187"/>
      <c r="AD194" s="187"/>
      <c r="AE194" s="187"/>
      <c r="AF194" s="187"/>
      <c r="AG194" s="187"/>
      <c r="AH194" s="187"/>
      <c r="AI194" s="187"/>
      <c r="AJ194" s="187"/>
      <c r="AK194" s="187"/>
      <c r="AL194" s="187"/>
      <c r="AM194" s="187"/>
      <c r="AN194" s="187"/>
      <c r="AO194" s="187"/>
      <c r="AP194" s="187"/>
      <c r="AQ194" s="187"/>
      <c r="AR194" s="187"/>
      <c r="AS194" s="187"/>
      <c r="AT194" s="187"/>
      <c r="AU194" s="187"/>
      <c r="AV194" s="187"/>
      <c r="AW194" s="187"/>
      <c r="AX194" s="187"/>
      <c r="AY194" s="187"/>
      <c r="AZ194" s="187"/>
      <c r="BA194" s="187"/>
      <c r="BB194" s="187"/>
      <c r="BC194" s="187"/>
      <c r="BD194" s="187"/>
      <c r="BE194" s="187"/>
      <c r="BF194" s="187"/>
      <c r="BG194" s="187"/>
      <c r="BH194" s="187"/>
      <c r="BI194" s="187"/>
      <c r="BJ194" s="187"/>
      <c r="BK194" s="187"/>
      <c r="BL194" s="187"/>
      <c r="BM194" s="187"/>
      <c r="BN194" s="187"/>
    </row>
    <row r="195" spans="1:66">
      <c r="A195" s="187"/>
      <c r="B195" s="187"/>
      <c r="C195" s="191"/>
      <c r="D195" s="191"/>
      <c r="E195" s="187"/>
      <c r="F195" s="187"/>
      <c r="G195" s="187"/>
      <c r="H195" s="187"/>
      <c r="I195" s="187"/>
      <c r="J195" s="187"/>
      <c r="K195" s="191"/>
      <c r="L195" s="191"/>
      <c r="M195" s="187"/>
      <c r="N195" s="187"/>
      <c r="O195" s="187"/>
      <c r="P195" s="187"/>
      <c r="Q195" s="187"/>
      <c r="R195" s="187"/>
      <c r="S195" s="187"/>
      <c r="T195" s="187"/>
      <c r="U195" s="187"/>
      <c r="V195" s="187"/>
      <c r="W195" s="187"/>
      <c r="X195" s="187"/>
      <c r="Y195" s="187"/>
      <c r="Z195" s="187"/>
      <c r="AA195" s="187"/>
      <c r="AB195" s="187"/>
      <c r="AC195" s="187"/>
      <c r="AD195" s="187"/>
      <c r="AE195" s="187"/>
      <c r="AF195" s="187"/>
      <c r="AG195" s="187"/>
      <c r="AH195" s="187"/>
      <c r="AI195" s="187"/>
      <c r="AJ195" s="187"/>
      <c r="AK195" s="187"/>
      <c r="AL195" s="187"/>
      <c r="AM195" s="187"/>
      <c r="AN195" s="187"/>
      <c r="AO195" s="187"/>
      <c r="AP195" s="187"/>
      <c r="AQ195" s="187"/>
      <c r="AR195" s="187"/>
      <c r="AS195" s="187"/>
      <c r="AT195" s="187"/>
      <c r="AU195" s="187"/>
      <c r="AV195" s="187"/>
      <c r="AW195" s="187"/>
      <c r="AX195" s="187"/>
      <c r="AY195" s="187"/>
      <c r="AZ195" s="187"/>
      <c r="BA195" s="187"/>
      <c r="BB195" s="187"/>
      <c r="BC195" s="187"/>
      <c r="BD195" s="187"/>
      <c r="BE195" s="187"/>
      <c r="BF195" s="187"/>
      <c r="BG195" s="187"/>
      <c r="BH195" s="187"/>
      <c r="BI195" s="187"/>
      <c r="BJ195" s="187"/>
      <c r="BK195" s="187"/>
      <c r="BL195" s="187"/>
      <c r="BM195" s="187"/>
      <c r="BN195" s="187"/>
    </row>
    <row r="196" spans="1:66">
      <c r="A196" s="187"/>
      <c r="B196" s="187"/>
      <c r="C196" s="191"/>
      <c r="D196" s="191"/>
      <c r="E196" s="187"/>
      <c r="F196" s="187"/>
      <c r="G196" s="187"/>
      <c r="H196" s="187"/>
      <c r="I196" s="187"/>
      <c r="J196" s="187"/>
      <c r="K196" s="191"/>
      <c r="L196" s="191"/>
      <c r="M196" s="187"/>
      <c r="N196" s="187"/>
      <c r="O196" s="187"/>
      <c r="P196" s="187"/>
      <c r="Q196" s="187"/>
      <c r="R196" s="187"/>
      <c r="S196" s="187"/>
      <c r="T196" s="187"/>
      <c r="U196" s="187"/>
      <c r="V196" s="187"/>
      <c r="W196" s="187"/>
      <c r="X196" s="187"/>
      <c r="Y196" s="187"/>
      <c r="Z196" s="187"/>
      <c r="AA196" s="187"/>
      <c r="AB196" s="187"/>
      <c r="AC196" s="187"/>
      <c r="AD196" s="187"/>
      <c r="AE196" s="187"/>
      <c r="AF196" s="187"/>
      <c r="AG196" s="187"/>
      <c r="AH196" s="187"/>
      <c r="AI196" s="187"/>
      <c r="AJ196" s="187"/>
      <c r="AK196" s="187"/>
      <c r="AL196" s="187"/>
      <c r="AM196" s="187"/>
      <c r="AN196" s="187"/>
      <c r="AO196" s="187"/>
      <c r="AP196" s="187"/>
      <c r="AQ196" s="187"/>
      <c r="AR196" s="187"/>
      <c r="AS196" s="187"/>
      <c r="AT196" s="187"/>
      <c r="AU196" s="187"/>
      <c r="AV196" s="187"/>
      <c r="AW196" s="187"/>
      <c r="AX196" s="187"/>
      <c r="AY196" s="187"/>
      <c r="AZ196" s="187"/>
      <c r="BA196" s="187"/>
      <c r="BB196" s="187"/>
      <c r="BC196" s="187"/>
      <c r="BD196" s="187"/>
      <c r="BE196" s="187"/>
      <c r="BF196" s="187"/>
      <c r="BG196" s="187"/>
      <c r="BH196" s="187"/>
      <c r="BI196" s="187"/>
      <c r="BJ196" s="187"/>
      <c r="BK196" s="187"/>
      <c r="BL196" s="187"/>
      <c r="BM196" s="187"/>
      <c r="BN196" s="187"/>
    </row>
    <row r="197" spans="1:66">
      <c r="A197" s="187"/>
      <c r="B197" s="187"/>
      <c r="C197" s="191"/>
      <c r="D197" s="191"/>
      <c r="E197" s="187"/>
      <c r="F197" s="187"/>
      <c r="G197" s="187"/>
      <c r="H197" s="187"/>
      <c r="I197" s="187"/>
      <c r="J197" s="187"/>
      <c r="K197" s="191"/>
      <c r="L197" s="191"/>
      <c r="M197" s="187"/>
      <c r="N197" s="187"/>
      <c r="O197" s="187"/>
      <c r="P197" s="187"/>
      <c r="Q197" s="187"/>
      <c r="R197" s="187"/>
      <c r="S197" s="187"/>
      <c r="T197" s="187"/>
      <c r="U197" s="187"/>
      <c r="V197" s="187"/>
      <c r="W197" s="187"/>
      <c r="X197" s="187"/>
      <c r="Y197" s="187"/>
      <c r="Z197" s="187"/>
      <c r="AA197" s="187"/>
      <c r="AB197" s="187"/>
      <c r="AC197" s="187"/>
      <c r="AD197" s="187"/>
      <c r="AE197" s="187"/>
      <c r="AF197" s="187"/>
      <c r="AG197" s="187"/>
      <c r="AH197" s="187"/>
      <c r="AI197" s="187"/>
      <c r="AJ197" s="187"/>
      <c r="AK197" s="187"/>
      <c r="AL197" s="187"/>
      <c r="AM197" s="187"/>
      <c r="AN197" s="187"/>
      <c r="AO197" s="187"/>
      <c r="AP197" s="187"/>
      <c r="AQ197" s="187"/>
      <c r="AR197" s="187"/>
      <c r="AS197" s="187"/>
      <c r="AT197" s="187"/>
      <c r="AU197" s="187"/>
      <c r="AV197" s="187"/>
      <c r="AW197" s="187"/>
      <c r="AX197" s="187"/>
      <c r="AY197" s="187"/>
      <c r="AZ197" s="187"/>
      <c r="BA197" s="187"/>
      <c r="BB197" s="187"/>
      <c r="BC197" s="187"/>
      <c r="BD197" s="187"/>
      <c r="BE197" s="187"/>
      <c r="BF197" s="187"/>
      <c r="BG197" s="187"/>
      <c r="BH197" s="187"/>
      <c r="BI197" s="187"/>
      <c r="BJ197" s="187"/>
      <c r="BK197" s="187"/>
      <c r="BL197" s="187"/>
      <c r="BM197" s="187"/>
      <c r="BN197" s="187"/>
    </row>
    <row r="198" spans="1:66">
      <c r="A198" s="187"/>
      <c r="B198" s="187"/>
      <c r="C198" s="191"/>
      <c r="D198" s="191"/>
      <c r="E198" s="187"/>
      <c r="F198" s="187"/>
      <c r="G198" s="187"/>
      <c r="H198" s="187"/>
      <c r="I198" s="187"/>
      <c r="J198" s="187"/>
      <c r="K198" s="191"/>
      <c r="L198" s="191"/>
      <c r="M198" s="187"/>
      <c r="N198" s="187"/>
      <c r="O198" s="187"/>
      <c r="P198" s="187"/>
      <c r="Q198" s="187"/>
      <c r="R198" s="187"/>
      <c r="S198" s="187"/>
      <c r="T198" s="187"/>
      <c r="U198" s="187"/>
      <c r="V198" s="187"/>
      <c r="W198" s="187"/>
      <c r="X198" s="187"/>
      <c r="Y198" s="187"/>
      <c r="Z198" s="187"/>
      <c r="AA198" s="187"/>
      <c r="AB198" s="187"/>
      <c r="AC198" s="187"/>
      <c r="AD198" s="187"/>
      <c r="AE198" s="187"/>
      <c r="AF198" s="187"/>
      <c r="AG198" s="187"/>
      <c r="AH198" s="187"/>
      <c r="AI198" s="187"/>
      <c r="AJ198" s="187"/>
      <c r="AK198" s="187"/>
      <c r="AL198" s="187"/>
      <c r="AM198" s="187"/>
      <c r="AN198" s="187"/>
      <c r="AO198" s="187"/>
      <c r="AP198" s="187"/>
      <c r="AQ198" s="187"/>
      <c r="AR198" s="187"/>
      <c r="AS198" s="187"/>
      <c r="AT198" s="187"/>
      <c r="AU198" s="187"/>
      <c r="AV198" s="187"/>
      <c r="AW198" s="187"/>
      <c r="AX198" s="187"/>
      <c r="AY198" s="187"/>
      <c r="AZ198" s="187"/>
      <c r="BA198" s="187"/>
      <c r="BB198" s="187"/>
      <c r="BC198" s="187"/>
      <c r="BD198" s="187"/>
      <c r="BE198" s="187"/>
      <c r="BF198" s="187"/>
      <c r="BG198" s="187"/>
      <c r="BH198" s="187"/>
      <c r="BI198" s="187"/>
      <c r="BJ198" s="187"/>
      <c r="BK198" s="187"/>
      <c r="BL198" s="187"/>
      <c r="BM198" s="187"/>
      <c r="BN198" s="187"/>
    </row>
    <row r="199" spans="1:66">
      <c r="A199" s="187"/>
      <c r="B199" s="187"/>
      <c r="C199" s="191"/>
      <c r="D199" s="191"/>
      <c r="E199" s="187"/>
      <c r="F199" s="187"/>
      <c r="G199" s="187"/>
      <c r="H199" s="187"/>
      <c r="I199" s="187"/>
      <c r="J199" s="187"/>
      <c r="K199" s="191"/>
      <c r="L199" s="191"/>
      <c r="M199" s="187"/>
      <c r="N199" s="187"/>
      <c r="O199" s="187"/>
      <c r="P199" s="187"/>
      <c r="Q199" s="187"/>
      <c r="R199" s="187"/>
      <c r="S199" s="187"/>
      <c r="T199" s="187"/>
      <c r="U199" s="187"/>
      <c r="V199" s="187"/>
      <c r="W199" s="187"/>
      <c r="X199" s="187"/>
      <c r="Y199" s="187"/>
      <c r="Z199" s="187"/>
      <c r="AA199" s="187"/>
      <c r="AB199" s="187"/>
      <c r="AC199" s="187"/>
      <c r="AD199" s="187"/>
      <c r="AE199" s="187"/>
      <c r="AF199" s="187"/>
      <c r="AG199" s="187"/>
      <c r="AH199" s="187"/>
      <c r="AI199" s="187"/>
      <c r="AJ199" s="187"/>
      <c r="AK199" s="187"/>
      <c r="AL199" s="187"/>
      <c r="AM199" s="187"/>
      <c r="AN199" s="187"/>
      <c r="AO199" s="187"/>
      <c r="AP199" s="187"/>
      <c r="AQ199" s="187"/>
      <c r="AR199" s="187"/>
      <c r="AS199" s="187"/>
      <c r="AT199" s="187"/>
      <c r="AU199" s="187"/>
      <c r="AV199" s="187"/>
      <c r="AW199" s="187"/>
      <c r="AX199" s="187"/>
      <c r="AY199" s="187"/>
      <c r="AZ199" s="187"/>
      <c r="BA199" s="187"/>
      <c r="BB199" s="187"/>
      <c r="BC199" s="187"/>
      <c r="BD199" s="187"/>
      <c r="BE199" s="187"/>
      <c r="BF199" s="187"/>
      <c r="BG199" s="187"/>
      <c r="BH199" s="187"/>
      <c r="BI199" s="187"/>
      <c r="BJ199" s="187"/>
      <c r="BK199" s="187"/>
      <c r="BL199" s="187"/>
      <c r="BM199" s="187"/>
      <c r="BN199" s="187"/>
    </row>
    <row r="200" spans="1:66">
      <c r="A200" s="187"/>
      <c r="B200" s="187"/>
      <c r="C200" s="191"/>
      <c r="D200" s="191"/>
      <c r="E200" s="187"/>
      <c r="F200" s="187"/>
      <c r="G200" s="187"/>
      <c r="H200" s="187"/>
      <c r="I200" s="187"/>
      <c r="J200" s="187"/>
      <c r="K200" s="191"/>
      <c r="L200" s="191"/>
      <c r="M200" s="187"/>
      <c r="N200" s="187"/>
      <c r="O200" s="187"/>
      <c r="P200" s="187"/>
      <c r="Q200" s="187"/>
      <c r="R200" s="187"/>
      <c r="S200" s="187"/>
      <c r="T200" s="187"/>
      <c r="U200" s="187"/>
      <c r="V200" s="187"/>
      <c r="W200" s="187"/>
      <c r="X200" s="187"/>
      <c r="Y200" s="187"/>
      <c r="Z200" s="187"/>
      <c r="AA200" s="187"/>
      <c r="AB200" s="187"/>
      <c r="AC200" s="187"/>
      <c r="AD200" s="187"/>
      <c r="AE200" s="187"/>
      <c r="AF200" s="187"/>
      <c r="AG200" s="187"/>
      <c r="AH200" s="187"/>
      <c r="AI200" s="187"/>
      <c r="AJ200" s="187"/>
      <c r="AK200" s="187"/>
      <c r="AL200" s="187"/>
      <c r="AM200" s="187"/>
      <c r="AN200" s="187"/>
      <c r="AO200" s="187"/>
      <c r="AP200" s="187"/>
      <c r="AQ200" s="187"/>
      <c r="AR200" s="187"/>
      <c r="AS200" s="187"/>
      <c r="AT200" s="187"/>
      <c r="AU200" s="187"/>
      <c r="AV200" s="187"/>
      <c r="AW200" s="187"/>
      <c r="AX200" s="187"/>
      <c r="AY200" s="187"/>
      <c r="AZ200" s="187"/>
      <c r="BA200" s="187"/>
      <c r="BB200" s="187"/>
      <c r="BC200" s="187"/>
      <c r="BD200" s="187"/>
      <c r="BE200" s="187"/>
      <c r="BF200" s="187"/>
      <c r="BG200" s="187"/>
      <c r="BH200" s="187"/>
      <c r="BI200" s="187"/>
      <c r="BJ200" s="187"/>
      <c r="BK200" s="187"/>
      <c r="BL200" s="187"/>
      <c r="BM200" s="187"/>
      <c r="BN200" s="187"/>
    </row>
    <row r="201" spans="1:66">
      <c r="A201" s="187"/>
      <c r="B201" s="187"/>
      <c r="C201" s="191"/>
      <c r="D201" s="191"/>
      <c r="E201" s="187"/>
      <c r="F201" s="187"/>
      <c r="G201" s="187"/>
      <c r="H201" s="187"/>
      <c r="I201" s="187"/>
      <c r="J201" s="187"/>
      <c r="K201" s="191"/>
      <c r="L201" s="191"/>
      <c r="M201" s="187"/>
      <c r="N201" s="187"/>
      <c r="O201" s="187"/>
      <c r="P201" s="187"/>
      <c r="Q201" s="187"/>
      <c r="R201" s="187"/>
      <c r="S201" s="187"/>
      <c r="T201" s="187"/>
      <c r="U201" s="187"/>
      <c r="V201" s="187"/>
      <c r="W201" s="187"/>
      <c r="X201" s="187"/>
      <c r="Y201" s="187"/>
      <c r="Z201" s="187"/>
      <c r="AA201" s="187"/>
      <c r="AB201" s="187"/>
      <c r="AC201" s="187"/>
      <c r="AD201" s="187"/>
      <c r="AE201" s="187"/>
      <c r="AF201" s="187"/>
      <c r="AG201" s="187"/>
      <c r="AH201" s="187"/>
      <c r="AI201" s="187"/>
      <c r="AJ201" s="187"/>
      <c r="AK201" s="187"/>
      <c r="AL201" s="187"/>
      <c r="AM201" s="187"/>
      <c r="AN201" s="187"/>
      <c r="AO201" s="187"/>
      <c r="AP201" s="187"/>
      <c r="AQ201" s="187"/>
      <c r="AR201" s="187"/>
      <c r="AS201" s="187"/>
      <c r="AT201" s="187"/>
      <c r="AU201" s="187"/>
      <c r="AV201" s="187"/>
      <c r="AW201" s="187"/>
      <c r="AX201" s="187"/>
      <c r="AY201" s="187"/>
      <c r="AZ201" s="187"/>
      <c r="BA201" s="187"/>
      <c r="BB201" s="187"/>
      <c r="BC201" s="187"/>
      <c r="BD201" s="187"/>
      <c r="BE201" s="187"/>
      <c r="BF201" s="187"/>
      <c r="BG201" s="187"/>
      <c r="BH201" s="187"/>
      <c r="BI201" s="187"/>
      <c r="BJ201" s="187"/>
      <c r="BK201" s="187"/>
      <c r="BL201" s="187"/>
      <c r="BM201" s="187"/>
      <c r="BN201" s="187"/>
    </row>
    <row r="202" spans="1:66">
      <c r="A202" s="187"/>
      <c r="B202" s="187"/>
      <c r="C202" s="191"/>
      <c r="D202" s="191"/>
      <c r="E202" s="187"/>
      <c r="F202" s="187"/>
      <c r="G202" s="187"/>
      <c r="H202" s="187"/>
      <c r="I202" s="187"/>
      <c r="J202" s="187"/>
      <c r="K202" s="191"/>
      <c r="L202" s="191"/>
      <c r="M202" s="187"/>
      <c r="N202" s="187"/>
      <c r="O202" s="187"/>
      <c r="P202" s="187"/>
      <c r="Q202" s="187"/>
      <c r="R202" s="187"/>
      <c r="S202" s="187"/>
      <c r="T202" s="187"/>
      <c r="U202" s="187"/>
      <c r="V202" s="187"/>
      <c r="W202" s="187"/>
      <c r="X202" s="187"/>
      <c r="Y202" s="187"/>
      <c r="Z202" s="187"/>
      <c r="AA202" s="187"/>
      <c r="AB202" s="187"/>
      <c r="AC202" s="187"/>
      <c r="AD202" s="187"/>
      <c r="AE202" s="187"/>
      <c r="AF202" s="187"/>
      <c r="AG202" s="187"/>
      <c r="AH202" s="187"/>
      <c r="AI202" s="187"/>
      <c r="AJ202" s="187"/>
      <c r="AK202" s="187"/>
      <c r="AL202" s="187"/>
      <c r="AM202" s="187"/>
      <c r="AN202" s="187"/>
      <c r="AO202" s="187"/>
      <c r="AP202" s="187"/>
      <c r="AQ202" s="187"/>
      <c r="AR202" s="187"/>
      <c r="AS202" s="187"/>
      <c r="AT202" s="187"/>
      <c r="AU202" s="187"/>
      <c r="AV202" s="187"/>
      <c r="AW202" s="187"/>
      <c r="AX202" s="187"/>
      <c r="AY202" s="187"/>
      <c r="AZ202" s="187"/>
      <c r="BA202" s="187"/>
      <c r="BB202" s="187"/>
      <c r="BC202" s="187"/>
      <c r="BD202" s="187"/>
      <c r="BE202" s="187"/>
      <c r="BF202" s="187"/>
      <c r="BG202" s="187"/>
      <c r="BH202" s="187"/>
      <c r="BI202" s="187"/>
      <c r="BJ202" s="187"/>
      <c r="BK202" s="187"/>
      <c r="BL202" s="187"/>
      <c r="BM202" s="187"/>
      <c r="BN202" s="187"/>
    </row>
    <row r="203" spans="1:66">
      <c r="A203" s="187"/>
      <c r="B203" s="187"/>
      <c r="C203" s="191"/>
      <c r="D203" s="191"/>
      <c r="E203" s="187"/>
      <c r="F203" s="187"/>
      <c r="G203" s="187"/>
      <c r="H203" s="187"/>
      <c r="I203" s="187"/>
      <c r="J203" s="187"/>
      <c r="K203" s="191"/>
      <c r="L203" s="191"/>
      <c r="M203" s="187"/>
      <c r="N203" s="187"/>
      <c r="O203" s="187"/>
      <c r="P203" s="187"/>
      <c r="Q203" s="187"/>
      <c r="R203" s="187"/>
      <c r="S203" s="187"/>
      <c r="T203" s="187"/>
      <c r="U203" s="187"/>
      <c r="V203" s="187"/>
      <c r="W203" s="187"/>
      <c r="X203" s="187"/>
      <c r="Y203" s="187"/>
      <c r="Z203" s="187"/>
      <c r="AA203" s="187"/>
      <c r="AB203" s="187"/>
      <c r="AC203" s="187"/>
      <c r="AD203" s="187"/>
      <c r="AE203" s="187"/>
      <c r="AF203" s="187"/>
      <c r="AG203" s="187"/>
      <c r="AH203" s="187"/>
      <c r="AI203" s="187"/>
      <c r="AJ203" s="187"/>
      <c r="AK203" s="187"/>
      <c r="AL203" s="187"/>
      <c r="AM203" s="187"/>
      <c r="AN203" s="187"/>
      <c r="AO203" s="187"/>
      <c r="AP203" s="187"/>
      <c r="AQ203" s="187"/>
      <c r="AR203" s="187"/>
      <c r="AS203" s="187"/>
      <c r="AT203" s="187"/>
      <c r="AU203" s="187"/>
      <c r="AV203" s="187"/>
      <c r="AW203" s="187"/>
      <c r="AX203" s="187"/>
      <c r="AY203" s="187"/>
      <c r="AZ203" s="187"/>
      <c r="BA203" s="187"/>
      <c r="BB203" s="187"/>
      <c r="BC203" s="187"/>
      <c r="BD203" s="187"/>
      <c r="BE203" s="187"/>
      <c r="BF203" s="187"/>
      <c r="BG203" s="187"/>
      <c r="BH203" s="187"/>
      <c r="BI203" s="187"/>
      <c r="BJ203" s="187"/>
      <c r="BK203" s="187"/>
      <c r="BL203" s="187"/>
      <c r="BM203" s="187"/>
      <c r="BN203" s="187"/>
    </row>
    <row r="204" spans="1:66">
      <c r="A204" s="187"/>
      <c r="B204" s="187"/>
      <c r="C204" s="191"/>
      <c r="D204" s="191"/>
      <c r="E204" s="187"/>
      <c r="F204" s="187"/>
      <c r="G204" s="187"/>
      <c r="H204" s="187"/>
      <c r="I204" s="187"/>
      <c r="J204" s="187"/>
      <c r="K204" s="191"/>
      <c r="L204" s="191"/>
      <c r="M204" s="187"/>
      <c r="N204" s="187"/>
      <c r="O204" s="187"/>
      <c r="P204" s="187"/>
      <c r="Q204" s="187"/>
      <c r="R204" s="187"/>
      <c r="S204" s="187"/>
      <c r="T204" s="187"/>
      <c r="U204" s="187"/>
      <c r="V204" s="187"/>
      <c r="W204" s="187"/>
      <c r="X204" s="187"/>
      <c r="Y204" s="187"/>
      <c r="Z204" s="187"/>
      <c r="AA204" s="187"/>
      <c r="AB204" s="187"/>
      <c r="AC204" s="187"/>
      <c r="AD204" s="187"/>
      <c r="AE204" s="187"/>
      <c r="AF204" s="187"/>
      <c r="AG204" s="187"/>
      <c r="AH204" s="187"/>
      <c r="AI204" s="187"/>
      <c r="AJ204" s="187"/>
      <c r="AK204" s="187"/>
      <c r="AL204" s="187"/>
      <c r="AM204" s="187"/>
      <c r="AN204" s="187"/>
      <c r="AO204" s="187"/>
      <c r="AP204" s="187"/>
      <c r="AQ204" s="187"/>
      <c r="AR204" s="187"/>
      <c r="AS204" s="187"/>
      <c r="AT204" s="187"/>
      <c r="AU204" s="187"/>
      <c r="AV204" s="187"/>
      <c r="AW204" s="187"/>
      <c r="AX204" s="187"/>
      <c r="AY204" s="187"/>
      <c r="AZ204" s="187"/>
      <c r="BA204" s="187"/>
      <c r="BB204" s="187"/>
      <c r="BC204" s="187"/>
      <c r="BD204" s="187"/>
      <c r="BE204" s="187"/>
      <c r="BF204" s="187"/>
      <c r="BG204" s="187"/>
      <c r="BH204" s="187"/>
      <c r="BI204" s="187"/>
      <c r="BJ204" s="187"/>
      <c r="BK204" s="187"/>
      <c r="BL204" s="187"/>
      <c r="BM204" s="187"/>
      <c r="BN204" s="187"/>
    </row>
    <row r="205" spans="1:66">
      <c r="A205" s="187"/>
      <c r="B205" s="187"/>
      <c r="C205" s="191"/>
      <c r="D205" s="191"/>
      <c r="E205" s="187"/>
      <c r="F205" s="187"/>
      <c r="G205" s="187"/>
      <c r="H205" s="187"/>
      <c r="I205" s="187"/>
      <c r="J205" s="187"/>
      <c r="K205" s="191"/>
      <c r="L205" s="191"/>
      <c r="M205" s="187"/>
      <c r="N205" s="187"/>
      <c r="O205" s="187"/>
      <c r="P205" s="187"/>
      <c r="Q205" s="187"/>
      <c r="R205" s="187"/>
      <c r="S205" s="187"/>
      <c r="T205" s="187"/>
      <c r="U205" s="187"/>
      <c r="V205" s="187"/>
      <c r="W205" s="187"/>
      <c r="X205" s="187"/>
      <c r="Y205" s="187"/>
      <c r="Z205" s="187"/>
      <c r="AA205" s="187"/>
      <c r="AB205" s="187"/>
      <c r="AC205" s="187"/>
      <c r="AD205" s="187"/>
      <c r="AE205" s="187"/>
      <c r="AF205" s="187"/>
      <c r="AG205" s="187"/>
      <c r="AH205" s="187"/>
      <c r="AI205" s="187"/>
      <c r="AJ205" s="187"/>
      <c r="AK205" s="187"/>
      <c r="AL205" s="187"/>
      <c r="AM205" s="187"/>
      <c r="AN205" s="187"/>
      <c r="AO205" s="187"/>
      <c r="AP205" s="187"/>
      <c r="AQ205" s="187"/>
      <c r="AR205" s="187"/>
      <c r="AS205" s="187"/>
      <c r="AT205" s="187"/>
      <c r="AU205" s="187"/>
      <c r="AV205" s="187"/>
      <c r="AW205" s="187"/>
      <c r="AX205" s="187"/>
      <c r="AY205" s="187"/>
      <c r="AZ205" s="187"/>
      <c r="BA205" s="187"/>
      <c r="BB205" s="187"/>
      <c r="BC205" s="187"/>
      <c r="BD205" s="187"/>
      <c r="BE205" s="187"/>
      <c r="BF205" s="187"/>
      <c r="BG205" s="187"/>
      <c r="BH205" s="187"/>
      <c r="BI205" s="187"/>
      <c r="BJ205" s="187"/>
      <c r="BK205" s="187"/>
      <c r="BL205" s="187"/>
      <c r="BM205" s="187"/>
      <c r="BN205" s="187"/>
    </row>
  </sheetData>
  <mergeCells count="3">
    <mergeCell ref="M3:X3"/>
    <mergeCell ref="Y3:AJ3"/>
    <mergeCell ref="A2:C2"/>
  </mergeCells>
  <conditionalFormatting sqref="M133:M1048576">
    <cfRule type="expression" dxfId="76" priority="135">
      <formula>AND(O$4&gt;=DATE(YEAR($K134),MONTH($K134),1),    O$4&lt;=DATE(YEAR($L134),MONTH($L134),1),    $F134="Recomendación")</formula>
    </cfRule>
    <cfRule type="expression" dxfId="75" priority="134">
      <formula>AND(O$4&gt;=DATE(YEAR($K134),MONTH($K134),1),    O$4&lt;=DATE(YEAR($L134),MONTH($L134),1),    $F134="Evolutivo")</formula>
    </cfRule>
    <cfRule type="expression" dxfId="74" priority="138">
      <formula>AND(O$4&gt;=DATE(YEAR($K134),MONTH($K134),1),    O$4&lt;=DATE(YEAR($L134),MONTH($L134),1),    $F134="Correctivo")</formula>
    </cfRule>
    <cfRule type="expression" dxfId="73" priority="137">
      <formula>AND(O$4&gt;=DATE(YEAR($K134),MONTH($K134),1),    O$4&lt;=DATE(YEAR($L134),MONTH($L134),1),    $F134="Mandatorio")</formula>
    </cfRule>
    <cfRule type="expression" dxfId="72" priority="136">
      <formula>AND(O$4&gt;=DATE(YEAR($K134),MONTH($K134),1),    O$4&lt;=DATE(YEAR($L134),MONTH($L134),1),    $F134="Normativo")</formula>
    </cfRule>
  </conditionalFormatting>
  <conditionalFormatting sqref="N133:XFC1048575">
    <cfRule type="expression" dxfId="71" priority="162">
      <formula>AND(P$4&gt;=DATE(YEAR($K135),MONTH($K135),1),    P$4&lt;=DATE(YEAR($L135),MONTH($L135),1),    $F135="Correctivo")</formula>
    </cfRule>
    <cfRule type="expression" dxfId="70" priority="152">
      <formula>AND(P$4&gt;=DATE(YEAR($K135),MONTH($K135),1),    P$4&lt;=DATE(YEAR($L135),MONTH($L135),1),    $F135="Recomendación")</formula>
    </cfRule>
    <cfRule type="expression" dxfId="69" priority="146">
      <formula>AND(P$4&gt;=DATE(YEAR($K135),MONTH($K135),1),    P$4&lt;=DATE(YEAR($L135),MONTH($L135),1),    $F135="Evolutivo")</formula>
    </cfRule>
    <cfRule type="expression" dxfId="68" priority="153">
      <formula>AND(P$4&gt;=DATE(YEAR($K135),MONTH($K135),1),    P$4&lt;=DATE(YEAR($L135),MONTH($L135),1),    $F135="Normativo")</formula>
    </cfRule>
    <cfRule type="expression" dxfId="67" priority="158">
      <formula>AND(P$4&gt;=DATE(YEAR($K135),MONTH($K135),1),    P$4&lt;=DATE(YEAR($L135),MONTH($L135),1),    $F135="Mandatorio")</formula>
    </cfRule>
  </conditionalFormatting>
  <conditionalFormatting sqref="N1048576:XFD1048576">
    <cfRule type="expression" dxfId="66" priority="81">
      <formula>AND(O$4&gt;=DATE(YEAR($K1),MONTH($K1),1),    O$4&lt;=DATE(YEAR($L1),MONTH($L1),1),    $F1="Mandatorio")</formula>
    </cfRule>
    <cfRule type="expression" dxfId="65" priority="83">
      <formula>AND(O$4&gt;=DATE(YEAR($K1),MONTH($K1),1),    O$4&lt;=DATE(YEAR($L1),MONTH($L1),1),    $F1="Correctivo")</formula>
    </cfRule>
    <cfRule type="expression" dxfId="64" priority="75">
      <formula>AND(O$4&gt;=DATE(YEAR($K1),MONTH($K1),1),    O$4&lt;=DATE(YEAR($L1),MONTH($L1),1),    $F1="Evolutivo")</formula>
    </cfRule>
    <cfRule type="expression" dxfId="63" priority="77">
      <formula>AND(O$4&gt;=DATE(YEAR($K1),MONTH($K1),1),    O$4&lt;=DATE(YEAR($L1),MONTH($L1),1),    $F1="Recomendación")</formula>
    </cfRule>
    <cfRule type="expression" dxfId="62" priority="78">
      <formula>AND(O$4&gt;=DATE(YEAR($K1),MONTH($K1),1),    O$4&lt;=DATE(YEAR($L1),MONTH($L1),1),    $F1="Normativo")</formula>
    </cfRule>
  </conditionalFormatting>
  <conditionalFormatting sqref="O5:XFD128">
    <cfRule type="expression" dxfId="61" priority="47">
      <formula>AND(O$4&gt;=DATE(YEAR($K5),MONTH($K5),1),    O$4&lt;=DATE(YEAR($L5),MONTH($L5),1),    $F5="Mandatorio")</formula>
    </cfRule>
    <cfRule type="expression" dxfId="60" priority="49">
      <formula>AND(O$4&gt;=DATE(YEAR($K5),MONTH($K5),1),    O$4&lt;=DATE(YEAR($L5),MONTH($L5),1),    $F5="Correctivo")</formula>
    </cfRule>
    <cfRule type="expression" dxfId="59" priority="41">
      <formula>AND(O$4&gt;=DATE(YEAR($K5),MONTH($K5),1),    O$4&lt;=DATE(YEAR($L5),MONTH($L5),1),    $F5="Evolutivo")</formula>
    </cfRule>
    <cfRule type="expression" dxfId="58" priority="43">
      <formula>AND(O$4&gt;=DATE(YEAR($K5),MONTH($K5),1),    O$4&lt;=DATE(YEAR($L5),MONTH($L5),1),    $F5="Recomendación")</formula>
    </cfRule>
    <cfRule type="expression" dxfId="57" priority="44">
      <formula>AND(O$4&gt;=DATE(YEAR($K5),MONTH($K5),1),    O$4&lt;=DATE(YEAR($L5),MONTH($L5),1),    $F5="Normativo")</formula>
    </cfRule>
  </conditionalFormatting>
  <conditionalFormatting sqref="O129:XFD130">
    <cfRule type="expression" dxfId="56" priority="69">
      <formula>AND(O$4&gt;=DATE(YEAR(#REF!),MONTH(#REF!),1),    O$4&lt;=DATE(YEAR(#REF!),MONTH(#REF!),1),    #REF!="Correctivo")</formula>
    </cfRule>
    <cfRule type="expression" dxfId="55" priority="67">
      <formula>AND(O$4&gt;=DATE(YEAR(#REF!),MONTH(#REF!),1),    O$4&lt;=DATE(YEAR(#REF!),MONTH(#REF!),1),    #REF!="Mandatorio")</formula>
    </cfRule>
    <cfRule type="expression" dxfId="54" priority="65">
      <formula>AND(O$4&gt;=DATE(YEAR(#REF!),MONTH(#REF!),1),    O$4&lt;=DATE(YEAR(#REF!),MONTH(#REF!),1),    #REF!="Normativo")</formula>
    </cfRule>
    <cfRule type="expression" dxfId="53" priority="64">
      <formula>AND(O$4&gt;=DATE(YEAR(#REF!),MONTH(#REF!),1),    O$4&lt;=DATE(YEAR(#REF!),MONTH(#REF!),1),    #REF!="Recomendación")</formula>
    </cfRule>
    <cfRule type="expression" dxfId="52" priority="61">
      <formula>AND(O$4&gt;=DATE(YEAR(#REF!),MONTH(#REF!),1),    O$4&lt;=DATE(YEAR(#REF!),MONTH(#REF!),1),    #REF!="Evolutivo")</formula>
    </cfRule>
  </conditionalFormatting>
  <conditionalFormatting sqref="O131:XFD131">
    <cfRule type="expression" dxfId="51" priority="119">
      <formula>AND(O$4&gt;=DATE(YEAR($K133),MONTH($K133),1),    O$4&lt;=DATE(YEAR($L133),MONTH($L133),1),    $F133="Evolutivo")</formula>
    </cfRule>
    <cfRule type="expression" dxfId="50" priority="120">
      <formula>AND(O$4&gt;=DATE(YEAR($K133),MONTH($K133),1),    O$4&lt;=DATE(YEAR($L133),MONTH($L133),1),    $F133="Recomendación")</formula>
    </cfRule>
    <cfRule type="expression" dxfId="49" priority="121">
      <formula>AND(O$4&gt;=DATE(YEAR($K133),MONTH($K133),1),    O$4&lt;=DATE(YEAR($L133),MONTH($L133),1),    $F133="Normativo")</formula>
    </cfRule>
    <cfRule type="expression" dxfId="48" priority="122">
      <formula>AND(O$4&gt;=DATE(YEAR($K133),MONTH($K133),1),    O$4&lt;=DATE(YEAR($L133),MONTH($L133),1),    $F133="Mandatorio")</formula>
    </cfRule>
    <cfRule type="expression" dxfId="47" priority="123">
      <formula>AND(O$4&gt;=DATE(YEAR($K133),MONTH($K133),1),    O$4&lt;=DATE(YEAR($L133),MONTH($L133),1),    $F133="Correctivo")</formula>
    </cfRule>
  </conditionalFormatting>
  <conditionalFormatting sqref="O132:XFD132 XFD133:XFD1048575">
    <cfRule type="expression" dxfId="46" priority="105">
      <formula>AND(P$4&gt;=DATE(YEAR($K134),MONTH($K134),1),    P$4&lt;=DATE(YEAR($L134),MONTH($L134),1),    $F134="Recomendación")</formula>
    </cfRule>
    <cfRule type="expression" dxfId="45" priority="100">
      <formula>AND(P$4&gt;=DATE(YEAR($K134),MONTH($K134),1),    P$4&lt;=DATE(YEAR($L134),MONTH($L134),1),    $F134="Evolutivo")</formula>
    </cfRule>
    <cfRule type="expression" dxfId="44" priority="112">
      <formula>AND(P$4&gt;=DATE(YEAR($K134),MONTH($K134),1),    P$4&lt;=DATE(YEAR($L134),MONTH($L134),1),    $F134="Mandatorio")</formula>
    </cfRule>
    <cfRule type="expression" dxfId="43" priority="116">
      <formula>AND(P$4&gt;=DATE(YEAR($K134),MONTH($K134),1),    P$4&lt;=DATE(YEAR($L134),MONTH($L134),1),    $F134="Correctivo")</formula>
    </cfRule>
    <cfRule type="expression" dxfId="42" priority="106">
      <formula>AND(P$4&gt;=DATE(YEAR($K134),MONTH($K134),1),    P$4&lt;=DATE(YEAR($L134),MONTH($L134),1),    $F134="Normativo")</formula>
    </cfRule>
  </conditionalFormatting>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85"/>
  <sheetViews>
    <sheetView workbookViewId="0">
      <selection activeCell="C3" sqref="C3"/>
    </sheetView>
  </sheetViews>
  <sheetFormatPr baseColWidth="10" defaultColWidth="11.44140625" defaultRowHeight="14.4"/>
  <cols>
    <col min="2" max="2" width="34" bestFit="1" customWidth="1"/>
    <col min="3" max="3" width="12.109375" bestFit="1" customWidth="1"/>
    <col min="4" max="4" width="12" bestFit="1" customWidth="1"/>
    <col min="6" max="8" width="12" bestFit="1" customWidth="1"/>
    <col min="10" max="10" width="12" bestFit="1" customWidth="1"/>
  </cols>
  <sheetData>
    <row r="1" spans="2:6">
      <c r="B1" t="s">
        <v>492</v>
      </c>
    </row>
    <row r="3" spans="2:6">
      <c r="B3" t="s">
        <v>493</v>
      </c>
      <c r="C3" t="s">
        <v>494</v>
      </c>
      <c r="F3" s="6" t="s">
        <v>495</v>
      </c>
    </row>
    <row r="4" spans="2:6">
      <c r="B4" t="s">
        <v>496</v>
      </c>
      <c r="C4" s="4">
        <v>44927</v>
      </c>
      <c r="F4" t="s">
        <v>497</v>
      </c>
    </row>
    <row r="5" spans="2:6">
      <c r="B5" t="s">
        <v>498</v>
      </c>
      <c r="C5" s="4">
        <v>44928</v>
      </c>
      <c r="F5" t="s">
        <v>31</v>
      </c>
    </row>
    <row r="6" spans="2:6">
      <c r="B6" t="s">
        <v>499</v>
      </c>
      <c r="C6" s="4">
        <v>45022</v>
      </c>
      <c r="F6" t="s">
        <v>66</v>
      </c>
    </row>
    <row r="7" spans="2:6">
      <c r="B7" t="s">
        <v>498</v>
      </c>
      <c r="C7" s="4">
        <v>45044</v>
      </c>
      <c r="F7" t="s">
        <v>68</v>
      </c>
    </row>
    <row r="8" spans="2:6">
      <c r="B8" t="s">
        <v>500</v>
      </c>
      <c r="C8" s="4">
        <v>45047</v>
      </c>
      <c r="F8" t="s">
        <v>65</v>
      </c>
    </row>
    <row r="9" spans="2:6">
      <c r="B9" t="s">
        <v>501</v>
      </c>
      <c r="C9" s="4">
        <v>45106</v>
      </c>
      <c r="F9" t="s">
        <v>70</v>
      </c>
    </row>
    <row r="10" spans="2:6">
      <c r="B10" t="s">
        <v>498</v>
      </c>
      <c r="C10" s="4">
        <v>45107</v>
      </c>
      <c r="F10" t="s">
        <v>67</v>
      </c>
    </row>
    <row r="11" spans="2:6">
      <c r="B11" t="s">
        <v>498</v>
      </c>
      <c r="C11" s="4">
        <v>45134</v>
      </c>
      <c r="F11" t="s">
        <v>502</v>
      </c>
    </row>
    <row r="12" spans="2:6">
      <c r="B12" t="s">
        <v>503</v>
      </c>
      <c r="C12" s="4">
        <v>45135</v>
      </c>
      <c r="F12" t="s">
        <v>504</v>
      </c>
    </row>
    <row r="13" spans="2:6">
      <c r="B13" t="s">
        <v>505</v>
      </c>
      <c r="C13" s="4">
        <v>45136</v>
      </c>
      <c r="F13" t="s">
        <v>69</v>
      </c>
    </row>
    <row r="14" spans="2:6">
      <c r="B14" t="s">
        <v>506</v>
      </c>
      <c r="C14" s="4">
        <v>45168</v>
      </c>
      <c r="F14" t="s">
        <v>71</v>
      </c>
    </row>
    <row r="15" spans="2:6">
      <c r="B15" t="s">
        <v>507</v>
      </c>
      <c r="C15" s="4">
        <v>45207</v>
      </c>
      <c r="F15" t="s">
        <v>508</v>
      </c>
    </row>
    <row r="16" spans="2:6">
      <c r="B16" t="s">
        <v>498</v>
      </c>
      <c r="C16" s="4">
        <v>45208</v>
      </c>
      <c r="F16" t="s">
        <v>509</v>
      </c>
    </row>
    <row r="17" spans="2:6">
      <c r="B17" t="s">
        <v>510</v>
      </c>
      <c r="C17" s="4">
        <v>45231</v>
      </c>
      <c r="F17" t="s">
        <v>511</v>
      </c>
    </row>
    <row r="18" spans="2:6">
      <c r="B18" t="s">
        <v>498</v>
      </c>
      <c r="C18" s="4">
        <v>45267</v>
      </c>
      <c r="F18" t="s">
        <v>512</v>
      </c>
    </row>
    <row r="19" spans="2:6">
      <c r="B19" t="s">
        <v>513</v>
      </c>
      <c r="C19" s="4">
        <v>45268</v>
      </c>
    </row>
    <row r="20" spans="2:6">
      <c r="B20" t="s">
        <v>514</v>
      </c>
      <c r="C20" s="4">
        <v>45285</v>
      </c>
    </row>
    <row r="21" spans="2:6">
      <c r="B21" t="s">
        <v>498</v>
      </c>
      <c r="C21" s="4">
        <v>45286</v>
      </c>
    </row>
    <row r="22" spans="2:6">
      <c r="B22" t="s">
        <v>496</v>
      </c>
      <c r="C22" s="4">
        <v>45292</v>
      </c>
    </row>
    <row r="23" spans="2:6">
      <c r="B23" t="s">
        <v>498</v>
      </c>
      <c r="C23" s="4">
        <v>45293</v>
      </c>
    </row>
    <row r="24" spans="2:6">
      <c r="B24" t="s">
        <v>500</v>
      </c>
      <c r="C24" s="4">
        <v>45413</v>
      </c>
    </row>
    <row r="25" spans="2:6">
      <c r="B25" t="s">
        <v>501</v>
      </c>
      <c r="C25" s="4">
        <v>45472</v>
      </c>
    </row>
    <row r="26" spans="2:6">
      <c r="B26" t="s">
        <v>498</v>
      </c>
      <c r="C26" s="4">
        <v>45499</v>
      </c>
    </row>
    <row r="27" spans="2:6">
      <c r="B27" t="s">
        <v>503</v>
      </c>
      <c r="C27" s="4">
        <v>45501</v>
      </c>
    </row>
    <row r="28" spans="2:6">
      <c r="B28" t="s">
        <v>505</v>
      </c>
      <c r="C28" s="4">
        <v>45502</v>
      </c>
    </row>
    <row r="29" spans="2:6">
      <c r="B29" t="s">
        <v>506</v>
      </c>
      <c r="C29" s="4">
        <v>45534</v>
      </c>
    </row>
    <row r="30" spans="2:6">
      <c r="B30" t="s">
        <v>498</v>
      </c>
      <c r="C30" s="4">
        <v>45572</v>
      </c>
    </row>
    <row r="31" spans="2:6">
      <c r="B31" t="s">
        <v>507</v>
      </c>
      <c r="C31" s="4">
        <v>45573</v>
      </c>
    </row>
    <row r="32" spans="2:6">
      <c r="B32" t="s">
        <v>510</v>
      </c>
      <c r="C32" s="4">
        <v>45597</v>
      </c>
    </row>
    <row r="33" spans="2:3">
      <c r="B33" t="s">
        <v>498</v>
      </c>
      <c r="C33" s="4">
        <v>45632</v>
      </c>
    </row>
    <row r="34" spans="2:3">
      <c r="B34" t="s">
        <v>513</v>
      </c>
      <c r="C34" s="4">
        <v>45634</v>
      </c>
    </row>
    <row r="35" spans="2:3">
      <c r="B35" t="s">
        <v>498</v>
      </c>
      <c r="C35" s="4">
        <v>45649</v>
      </c>
    </row>
    <row r="36" spans="2:3">
      <c r="B36" t="s">
        <v>498</v>
      </c>
      <c r="C36" s="4">
        <v>45650</v>
      </c>
    </row>
    <row r="37" spans="2:3">
      <c r="B37" t="s">
        <v>514</v>
      </c>
      <c r="C37" s="4">
        <v>45651</v>
      </c>
    </row>
    <row r="38" spans="2:3">
      <c r="B38" t="s">
        <v>498</v>
      </c>
      <c r="C38" s="4">
        <v>45656</v>
      </c>
    </row>
    <row r="39" spans="2:3">
      <c r="B39" t="s">
        <v>498</v>
      </c>
      <c r="C39" s="4">
        <v>45657</v>
      </c>
    </row>
    <row r="40" spans="2:3">
      <c r="B40" t="s">
        <v>496</v>
      </c>
      <c r="C40" s="4">
        <v>45658</v>
      </c>
    </row>
    <row r="41" spans="2:3">
      <c r="B41" t="s">
        <v>498</v>
      </c>
      <c r="C41" s="4">
        <v>45659</v>
      </c>
    </row>
    <row r="42" spans="2:3">
      <c r="B42" t="s">
        <v>500</v>
      </c>
      <c r="C42" s="4">
        <v>45778</v>
      </c>
    </row>
    <row r="43" spans="2:3">
      <c r="B43" t="s">
        <v>501</v>
      </c>
      <c r="C43" s="4">
        <v>45837</v>
      </c>
    </row>
    <row r="44" spans="2:3">
      <c r="B44" t="s">
        <v>503</v>
      </c>
      <c r="C44" s="4">
        <v>45866</v>
      </c>
    </row>
    <row r="45" spans="2:3">
      <c r="B45" t="s">
        <v>505</v>
      </c>
      <c r="C45" s="4">
        <v>45867</v>
      </c>
    </row>
    <row r="46" spans="2:3">
      <c r="B46" t="s">
        <v>506</v>
      </c>
      <c r="C46" s="4">
        <v>45899</v>
      </c>
    </row>
    <row r="47" spans="2:3">
      <c r="B47" t="s">
        <v>507</v>
      </c>
      <c r="C47" s="4">
        <v>45938</v>
      </c>
    </row>
    <row r="48" spans="2:3">
      <c r="B48" t="s">
        <v>510</v>
      </c>
      <c r="C48" s="4">
        <v>45962</v>
      </c>
    </row>
    <row r="49" spans="2:3">
      <c r="B49" t="s">
        <v>513</v>
      </c>
      <c r="C49" s="4">
        <v>45999</v>
      </c>
    </row>
    <row r="50" spans="2:3">
      <c r="B50" t="s">
        <v>514</v>
      </c>
      <c r="C50" s="4">
        <v>46016</v>
      </c>
    </row>
    <row r="51" spans="2:3">
      <c r="B51" t="s">
        <v>498</v>
      </c>
      <c r="C51" s="4">
        <v>46017</v>
      </c>
    </row>
    <row r="52" spans="2:3">
      <c r="B52" t="s">
        <v>496</v>
      </c>
      <c r="C52" s="4">
        <v>46023</v>
      </c>
    </row>
    <row r="53" spans="2:3">
      <c r="B53" t="s">
        <v>498</v>
      </c>
      <c r="C53" s="4">
        <v>46024</v>
      </c>
    </row>
    <row r="54" spans="2:3">
      <c r="B54" t="s">
        <v>500</v>
      </c>
      <c r="C54" s="4">
        <v>46143</v>
      </c>
    </row>
    <row r="55" spans="2:3">
      <c r="B55" t="s">
        <v>501</v>
      </c>
      <c r="C55" s="4">
        <v>46202</v>
      </c>
    </row>
    <row r="56" spans="2:3">
      <c r="B56" t="s">
        <v>503</v>
      </c>
      <c r="C56" s="4">
        <v>46231</v>
      </c>
    </row>
    <row r="57" spans="2:3">
      <c r="B57" t="s">
        <v>505</v>
      </c>
      <c r="C57" s="4">
        <v>46232</v>
      </c>
    </row>
    <row r="58" spans="2:3">
      <c r="B58" t="s">
        <v>506</v>
      </c>
      <c r="C58" s="4">
        <v>46264</v>
      </c>
    </row>
    <row r="59" spans="2:3">
      <c r="B59" t="s">
        <v>507</v>
      </c>
      <c r="C59" s="4">
        <v>46303</v>
      </c>
    </row>
    <row r="60" spans="2:3">
      <c r="B60" t="s">
        <v>510</v>
      </c>
      <c r="C60" s="4">
        <v>46327</v>
      </c>
    </row>
    <row r="61" spans="2:3">
      <c r="B61" t="s">
        <v>513</v>
      </c>
      <c r="C61" s="4">
        <v>46364</v>
      </c>
    </row>
    <row r="62" spans="2:3">
      <c r="B62" t="s">
        <v>514</v>
      </c>
      <c r="C62" s="4">
        <v>46381</v>
      </c>
    </row>
    <row r="63" spans="2:3">
      <c r="B63" t="s">
        <v>515</v>
      </c>
      <c r="C63" s="4">
        <v>46114</v>
      </c>
    </row>
    <row r="64" spans="2:3">
      <c r="B64" t="s">
        <v>516</v>
      </c>
      <c r="C64" s="4">
        <v>46115</v>
      </c>
    </row>
    <row r="65" spans="2:10">
      <c r="B65" t="s">
        <v>517</v>
      </c>
      <c r="C65" s="4">
        <v>46180</v>
      </c>
    </row>
    <row r="66" spans="2:10">
      <c r="B66" t="s">
        <v>518</v>
      </c>
      <c r="C66" s="4">
        <v>46226</v>
      </c>
    </row>
    <row r="67" spans="2:10">
      <c r="B67" t="s">
        <v>519</v>
      </c>
      <c r="C67" s="4">
        <v>46240</v>
      </c>
    </row>
    <row r="68" spans="2:10">
      <c r="B68" t="s">
        <v>520</v>
      </c>
      <c r="C68" s="4">
        <v>46365</v>
      </c>
    </row>
    <row r="69" spans="2:10">
      <c r="B69" t="s">
        <v>521</v>
      </c>
      <c r="C69" s="4">
        <v>46381</v>
      </c>
      <c r="H69" s="111"/>
      <c r="I69" s="110"/>
    </row>
    <row r="70" spans="2:10">
      <c r="B70" t="s">
        <v>522</v>
      </c>
      <c r="C70" s="108">
        <v>46388</v>
      </c>
      <c r="H70" s="111"/>
      <c r="I70" s="110"/>
    </row>
    <row r="71" spans="2:10">
      <c r="B71" t="s">
        <v>523</v>
      </c>
      <c r="C71" s="108">
        <v>46471</v>
      </c>
      <c r="H71" s="111"/>
      <c r="I71" s="110"/>
    </row>
    <row r="72" spans="2:10">
      <c r="B72" t="s">
        <v>516</v>
      </c>
      <c r="C72" s="108">
        <v>46472</v>
      </c>
    </row>
    <row r="73" spans="2:10">
      <c r="B73" s="109" t="s">
        <v>524</v>
      </c>
      <c r="C73" s="4">
        <v>46508</v>
      </c>
    </row>
    <row r="74" spans="2:10">
      <c r="B74" s="109" t="s">
        <v>525</v>
      </c>
      <c r="C74" s="108">
        <v>46545</v>
      </c>
    </row>
    <row r="75" spans="2:10">
      <c r="B75" s="110" t="s">
        <v>526</v>
      </c>
      <c r="C75" s="108">
        <v>46573</v>
      </c>
      <c r="G75" s="111"/>
      <c r="H75" s="110"/>
    </row>
    <row r="76" spans="2:10">
      <c r="B76" s="110" t="s">
        <v>527</v>
      </c>
      <c r="C76" s="108">
        <v>46591</v>
      </c>
    </row>
    <row r="77" spans="2:10">
      <c r="B77" s="110" t="s">
        <v>528</v>
      </c>
      <c r="C77" s="108">
        <v>46596</v>
      </c>
    </row>
    <row r="78" spans="2:10">
      <c r="B78" s="110" t="s">
        <v>529</v>
      </c>
      <c r="C78" s="108">
        <v>46597</v>
      </c>
    </row>
    <row r="79" spans="2:10">
      <c r="B79" s="110" t="s">
        <v>519</v>
      </c>
      <c r="C79" s="108">
        <v>46608</v>
      </c>
    </row>
    <row r="80" spans="2:10">
      <c r="B80" s="110" t="s">
        <v>530</v>
      </c>
      <c r="C80" s="108">
        <v>46629</v>
      </c>
      <c r="I80" s="111"/>
      <c r="J80" s="110"/>
    </row>
    <row r="81" spans="2:10">
      <c r="B81" s="110" t="s">
        <v>531</v>
      </c>
      <c r="C81" s="108">
        <v>46671</v>
      </c>
      <c r="I81" s="111"/>
      <c r="J81" s="110"/>
    </row>
    <row r="82" spans="2:10">
      <c r="B82" s="110" t="s">
        <v>532</v>
      </c>
      <c r="C82" s="108">
        <v>46692</v>
      </c>
    </row>
    <row r="83" spans="2:10">
      <c r="B83" s="110" t="s">
        <v>533</v>
      </c>
      <c r="C83" s="108">
        <v>46734</v>
      </c>
    </row>
    <row r="84" spans="2:10">
      <c r="B84" s="110" t="s">
        <v>520</v>
      </c>
      <c r="C84" s="108">
        <v>46735</v>
      </c>
    </row>
    <row r="85" spans="2:10">
      <c r="B85" s="110" t="s">
        <v>521</v>
      </c>
      <c r="C85" s="108">
        <v>46746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B3:V29"/>
  <sheetViews>
    <sheetView zoomScale="80" zoomScaleNormal="80" workbookViewId="0">
      <selection activeCell="I12" sqref="I12"/>
    </sheetView>
  </sheetViews>
  <sheetFormatPr baseColWidth="10" defaultColWidth="11.44140625" defaultRowHeight="14.4"/>
  <cols>
    <col min="2" max="2" width="16.88671875" customWidth="1"/>
    <col min="3" max="3" width="14.109375" customWidth="1"/>
    <col min="4" max="4" width="12.5546875" customWidth="1"/>
    <col min="5" max="5" width="10.33203125" customWidth="1"/>
    <col min="6" max="6" width="13.109375" customWidth="1"/>
    <col min="9" max="9" width="19" bestFit="1" customWidth="1"/>
    <col min="10" max="11" width="13.33203125" bestFit="1" customWidth="1"/>
    <col min="12" max="12" width="19.6640625" bestFit="1" customWidth="1"/>
    <col min="16" max="16" width="15.109375" customWidth="1"/>
    <col min="17" max="17" width="15.5546875" customWidth="1"/>
    <col min="18" max="18" width="14.6640625" customWidth="1"/>
    <col min="19" max="19" width="13.5546875" customWidth="1"/>
    <col min="20" max="20" width="15.33203125" customWidth="1"/>
  </cols>
  <sheetData>
    <row r="3" spans="2:22">
      <c r="B3" s="267" t="s">
        <v>534</v>
      </c>
      <c r="C3" s="267"/>
      <c r="D3" s="267"/>
      <c r="E3" s="267"/>
      <c r="F3" s="267"/>
      <c r="G3" s="267"/>
      <c r="I3" s="274" t="s">
        <v>535</v>
      </c>
      <c r="J3" s="275"/>
      <c r="L3" s="279" t="s">
        <v>12</v>
      </c>
      <c r="M3" s="279"/>
      <c r="N3" s="279"/>
      <c r="O3" s="279"/>
      <c r="P3" s="279"/>
      <c r="Q3" s="279"/>
      <c r="R3" s="279"/>
      <c r="U3" t="s">
        <v>113</v>
      </c>
      <c r="V3">
        <v>22</v>
      </c>
    </row>
    <row r="4" spans="2:22" ht="15">
      <c r="B4" s="96" t="s">
        <v>536</v>
      </c>
      <c r="C4" s="95" t="s">
        <v>74</v>
      </c>
      <c r="D4" s="95" t="s">
        <v>30</v>
      </c>
      <c r="E4" s="95" t="s">
        <v>47</v>
      </c>
      <c r="F4" s="95" t="s">
        <v>76</v>
      </c>
      <c r="G4" s="95" t="s">
        <v>77</v>
      </c>
      <c r="I4" s="95" t="s">
        <v>5</v>
      </c>
      <c r="J4" s="95" t="s">
        <v>537</v>
      </c>
      <c r="L4" s="105" t="s">
        <v>79</v>
      </c>
      <c r="M4" s="276" t="s">
        <v>538</v>
      </c>
      <c r="N4" s="276"/>
      <c r="O4" s="276"/>
      <c r="P4" s="276"/>
      <c r="Q4" s="276"/>
      <c r="R4" s="276"/>
      <c r="U4" t="s">
        <v>162</v>
      </c>
      <c r="V4">
        <v>44</v>
      </c>
    </row>
    <row r="5" spans="2:22">
      <c r="B5" s="20" t="s">
        <v>539</v>
      </c>
      <c r="C5" s="20">
        <v>30</v>
      </c>
      <c r="D5" s="20">
        <v>66</v>
      </c>
      <c r="E5" s="20">
        <v>110</v>
      </c>
      <c r="F5" s="20">
        <v>154</v>
      </c>
      <c r="G5" s="20">
        <v>176</v>
      </c>
      <c r="I5" s="20" t="s">
        <v>74</v>
      </c>
      <c r="J5" s="20">
        <v>1</v>
      </c>
      <c r="L5" s="282" t="s">
        <v>540</v>
      </c>
      <c r="M5" s="280" t="s">
        <v>541</v>
      </c>
      <c r="N5" s="280"/>
      <c r="O5" s="280"/>
      <c r="P5" s="280"/>
      <c r="Q5" s="280"/>
      <c r="R5" s="280"/>
      <c r="U5" t="s">
        <v>29</v>
      </c>
      <c r="V5">
        <v>66</v>
      </c>
    </row>
    <row r="6" spans="2:22">
      <c r="B6" s="20" t="s">
        <v>542</v>
      </c>
      <c r="C6" s="20">
        <v>30</v>
      </c>
      <c r="D6" s="20">
        <v>40</v>
      </c>
      <c r="E6" s="268">
        <v>50</v>
      </c>
      <c r="F6" s="269"/>
      <c r="G6" s="270"/>
      <c r="I6" s="20" t="s">
        <v>30</v>
      </c>
      <c r="J6" s="74" t="s">
        <v>543</v>
      </c>
      <c r="L6" s="283"/>
      <c r="M6" s="281"/>
      <c r="N6" s="280"/>
      <c r="O6" s="280"/>
      <c r="P6" s="280"/>
      <c r="Q6" s="280"/>
      <c r="R6" s="280"/>
      <c r="U6" t="s">
        <v>46</v>
      </c>
      <c r="V6">
        <v>88</v>
      </c>
    </row>
    <row r="7" spans="2:22" ht="15">
      <c r="B7" s="20" t="s">
        <v>544</v>
      </c>
      <c r="C7" s="20">
        <v>5</v>
      </c>
      <c r="D7" s="20">
        <v>5</v>
      </c>
      <c r="E7" s="271">
        <v>10</v>
      </c>
      <c r="F7" s="272"/>
      <c r="G7" s="273"/>
      <c r="I7" s="20" t="s">
        <v>47</v>
      </c>
      <c r="J7" s="20" t="s">
        <v>545</v>
      </c>
      <c r="L7" s="73" t="s">
        <v>80</v>
      </c>
      <c r="M7" s="277" t="s">
        <v>546</v>
      </c>
      <c r="N7" s="278"/>
      <c r="O7" s="278"/>
      <c r="P7" s="278"/>
      <c r="Q7" s="278"/>
      <c r="R7" s="278"/>
      <c r="U7" t="s">
        <v>308</v>
      </c>
      <c r="V7">
        <v>110</v>
      </c>
    </row>
    <row r="8" spans="2:22">
      <c r="I8" s="20" t="s">
        <v>76</v>
      </c>
      <c r="J8" s="20" t="s">
        <v>547</v>
      </c>
      <c r="L8" s="72" t="s">
        <v>81</v>
      </c>
      <c r="M8" s="284" t="s">
        <v>548</v>
      </c>
      <c r="N8" s="284"/>
      <c r="O8" s="284"/>
      <c r="P8" s="284"/>
      <c r="Q8" s="284"/>
      <c r="R8" s="284"/>
    </row>
    <row r="9" spans="2:22">
      <c r="I9" s="20" t="s">
        <v>77</v>
      </c>
      <c r="J9" s="20" t="s">
        <v>549</v>
      </c>
      <c r="L9" s="20" t="s">
        <v>550</v>
      </c>
      <c r="M9" s="285" t="s">
        <v>551</v>
      </c>
      <c r="N9" s="285"/>
      <c r="O9" s="285"/>
      <c r="P9" s="285"/>
      <c r="Q9" s="285"/>
      <c r="R9" s="285"/>
    </row>
    <row r="10" spans="2:22">
      <c r="L10" s="20" t="s">
        <v>552</v>
      </c>
      <c r="M10" s="285" t="s">
        <v>553</v>
      </c>
      <c r="N10" s="285"/>
      <c r="O10" s="285"/>
      <c r="P10" s="285"/>
      <c r="Q10" s="285"/>
      <c r="R10" s="285"/>
    </row>
    <row r="11" spans="2:22">
      <c r="C11" s="1"/>
      <c r="D11" s="1"/>
    </row>
    <row r="12" spans="2:22">
      <c r="B12" s="265" t="s">
        <v>554</v>
      </c>
      <c r="C12" s="265"/>
      <c r="D12" s="265"/>
      <c r="E12" s="265"/>
      <c r="F12" s="265"/>
      <c r="G12" s="265"/>
    </row>
    <row r="13" spans="2:22">
      <c r="B13" s="6"/>
    </row>
    <row r="14" spans="2:22">
      <c r="B14" s="264" t="s">
        <v>555</v>
      </c>
      <c r="C14" s="264"/>
      <c r="D14" s="264"/>
      <c r="E14" s="264"/>
      <c r="F14" s="264"/>
      <c r="G14" s="264"/>
      <c r="H14" s="264"/>
      <c r="I14" s="264"/>
      <c r="J14" s="264"/>
      <c r="K14" s="264"/>
      <c r="L14" s="264"/>
      <c r="M14" s="264"/>
    </row>
    <row r="15" spans="2:22">
      <c r="B15" s="264"/>
      <c r="C15" s="264"/>
      <c r="D15" s="264"/>
      <c r="E15" s="264"/>
      <c r="F15" s="264"/>
      <c r="G15" s="264"/>
      <c r="H15" s="264"/>
      <c r="I15" s="264"/>
      <c r="J15" s="264"/>
      <c r="K15" s="264"/>
      <c r="L15" s="264"/>
      <c r="M15" s="264"/>
    </row>
    <row r="16" spans="2:22">
      <c r="B16" s="266" t="s">
        <v>556</v>
      </c>
      <c r="C16" s="266"/>
      <c r="D16" s="266"/>
      <c r="E16" s="266"/>
      <c r="F16" s="266"/>
      <c r="G16" s="266"/>
      <c r="H16" s="266"/>
      <c r="I16" s="266"/>
      <c r="J16" s="266"/>
      <c r="K16" s="266"/>
      <c r="L16" s="266"/>
      <c r="M16" s="266"/>
    </row>
    <row r="17" spans="2:19" ht="42.75" customHeight="1">
      <c r="B17" s="266"/>
      <c r="C17" s="266"/>
      <c r="D17" s="266"/>
      <c r="E17" s="266"/>
      <c r="F17" s="266"/>
      <c r="G17" s="266"/>
      <c r="H17" s="266"/>
      <c r="I17" s="266"/>
      <c r="J17" s="266"/>
      <c r="K17" s="266"/>
      <c r="L17" s="266"/>
      <c r="M17" s="266"/>
    </row>
    <row r="18" spans="2:19" ht="35.25" customHeight="1">
      <c r="B18" s="263" t="s">
        <v>557</v>
      </c>
      <c r="C18" s="263"/>
      <c r="D18" s="263"/>
      <c r="E18" s="263"/>
      <c r="F18" s="263"/>
      <c r="G18" s="263"/>
      <c r="H18" s="263"/>
      <c r="I18" s="263"/>
      <c r="J18" s="263"/>
      <c r="K18" s="263"/>
      <c r="L18" s="263"/>
      <c r="M18" s="263"/>
      <c r="N18" s="203" t="s">
        <v>558</v>
      </c>
      <c r="O18" s="203" t="s">
        <v>559</v>
      </c>
      <c r="P18" s="203" t="s">
        <v>560</v>
      </c>
      <c r="Q18" s="203" t="s">
        <v>561</v>
      </c>
      <c r="R18" s="203" t="s">
        <v>562</v>
      </c>
      <c r="S18" s="3"/>
    </row>
    <row r="19" spans="2:19">
      <c r="B19" s="263"/>
      <c r="C19" s="263"/>
      <c r="D19" s="263"/>
      <c r="E19" s="263"/>
      <c r="F19" s="263"/>
      <c r="G19" s="263"/>
      <c r="H19" s="263"/>
      <c r="I19" s="263"/>
      <c r="J19" s="263"/>
      <c r="K19" s="263"/>
      <c r="L19" s="263"/>
      <c r="M19" s="263"/>
      <c r="N19" s="203" t="s">
        <v>563</v>
      </c>
      <c r="O19" s="203" t="s">
        <v>564</v>
      </c>
      <c r="P19" s="203" t="s">
        <v>565</v>
      </c>
      <c r="Q19" s="203" t="s">
        <v>566</v>
      </c>
      <c r="R19" s="203" t="s">
        <v>567</v>
      </c>
      <c r="S19" s="3"/>
    </row>
    <row r="20" spans="2:19">
      <c r="B20" s="263" t="s">
        <v>568</v>
      </c>
      <c r="C20" s="263"/>
      <c r="D20" s="263"/>
      <c r="E20" s="263"/>
      <c r="F20" s="263"/>
      <c r="G20" s="263"/>
      <c r="H20" s="263"/>
      <c r="I20" s="263"/>
      <c r="J20" s="263"/>
      <c r="K20" s="263"/>
      <c r="L20" s="263"/>
      <c r="M20" s="263"/>
      <c r="N20" s="77"/>
      <c r="S20" s="3"/>
    </row>
    <row r="21" spans="2:19">
      <c r="B21" s="263"/>
      <c r="C21" s="263"/>
      <c r="D21" s="263"/>
      <c r="E21" s="263"/>
      <c r="F21" s="263"/>
      <c r="G21" s="263"/>
      <c r="H21" s="263"/>
      <c r="I21" s="263"/>
      <c r="J21" s="263"/>
      <c r="K21" s="263"/>
      <c r="L21" s="263"/>
      <c r="M21" s="263"/>
      <c r="N21" s="77"/>
      <c r="O21" s="77"/>
      <c r="P21" s="77"/>
      <c r="Q21" s="77"/>
      <c r="R21" s="77"/>
      <c r="S21" s="3"/>
    </row>
    <row r="22" spans="2:19" ht="28.8">
      <c r="B22" s="264" t="s">
        <v>569</v>
      </c>
      <c r="C22" s="264"/>
      <c r="D22" s="264"/>
      <c r="E22" s="264"/>
      <c r="F22" s="264"/>
      <c r="G22" s="264"/>
      <c r="H22" s="264"/>
      <c r="I22" s="264"/>
      <c r="J22" s="264"/>
      <c r="K22" s="264"/>
      <c r="L22" s="264"/>
      <c r="M22" s="264"/>
      <c r="N22" s="203" t="s">
        <v>74</v>
      </c>
      <c r="O22" s="203" t="s">
        <v>30</v>
      </c>
      <c r="P22" s="203" t="s">
        <v>570</v>
      </c>
      <c r="Q22" s="77"/>
      <c r="R22" s="77"/>
      <c r="S22" s="3"/>
    </row>
    <row r="23" spans="2:19">
      <c r="B23" s="264"/>
      <c r="C23" s="264"/>
      <c r="D23" s="264"/>
      <c r="E23" s="264"/>
      <c r="F23" s="264"/>
      <c r="G23" s="264"/>
      <c r="H23" s="264"/>
      <c r="I23" s="264"/>
      <c r="J23" s="264"/>
      <c r="K23" s="264"/>
      <c r="L23" s="264"/>
      <c r="M23" s="264"/>
      <c r="N23" s="204" t="s">
        <v>563</v>
      </c>
      <c r="O23" s="204" t="s">
        <v>571</v>
      </c>
      <c r="P23" s="204" t="s">
        <v>572</v>
      </c>
      <c r="Q23" s="77"/>
      <c r="R23" s="77"/>
      <c r="S23" s="3"/>
    </row>
    <row r="24" spans="2:19">
      <c r="B24" s="263" t="s">
        <v>573</v>
      </c>
      <c r="C24" s="263"/>
      <c r="D24" s="263"/>
      <c r="E24" s="263"/>
      <c r="F24" s="263"/>
      <c r="G24" s="263"/>
      <c r="H24" s="263"/>
      <c r="I24" s="263"/>
      <c r="J24" s="263"/>
      <c r="K24" s="263"/>
      <c r="L24" s="263"/>
      <c r="M24" s="263"/>
      <c r="N24" s="77"/>
      <c r="O24" s="77"/>
      <c r="P24" s="77"/>
      <c r="Q24" s="77"/>
      <c r="R24" s="77"/>
      <c r="S24" s="3"/>
    </row>
    <row r="25" spans="2:19">
      <c r="B25" s="263"/>
      <c r="C25" s="263"/>
      <c r="D25" s="263"/>
      <c r="E25" s="263"/>
      <c r="F25" s="263"/>
      <c r="G25" s="263"/>
      <c r="H25" s="263"/>
      <c r="I25" s="263"/>
      <c r="J25" s="263"/>
      <c r="K25" s="263"/>
      <c r="L25" s="263"/>
      <c r="M25" s="263"/>
      <c r="N25" s="77"/>
      <c r="O25" s="77"/>
      <c r="P25" s="77"/>
      <c r="Q25" s="77"/>
      <c r="R25" s="77"/>
      <c r="S25" s="3"/>
    </row>
    <row r="26" spans="2:19" ht="28.8">
      <c r="B26" s="264" t="s">
        <v>574</v>
      </c>
      <c r="C26" s="264"/>
      <c r="D26" s="264"/>
      <c r="E26" s="264"/>
      <c r="F26" s="264"/>
      <c r="G26" s="264"/>
      <c r="H26" s="264"/>
      <c r="I26" s="264"/>
      <c r="J26" s="264"/>
      <c r="K26" s="264"/>
      <c r="L26" s="264"/>
      <c r="M26" s="264"/>
      <c r="N26" s="76" t="s">
        <v>575</v>
      </c>
      <c r="O26" s="76" t="s">
        <v>576</v>
      </c>
      <c r="P26" s="76" t="s">
        <v>577</v>
      </c>
      <c r="Q26" s="77"/>
      <c r="R26" s="77"/>
      <c r="S26" s="3"/>
    </row>
    <row r="27" spans="2:19">
      <c r="B27" s="264"/>
      <c r="C27" s="264"/>
      <c r="D27" s="264"/>
      <c r="E27" s="264"/>
      <c r="F27" s="264"/>
      <c r="G27" s="264"/>
      <c r="H27" s="264"/>
      <c r="I27" s="264"/>
      <c r="J27" s="264"/>
      <c r="K27" s="264"/>
      <c r="L27" s="264"/>
      <c r="M27" s="264"/>
    </row>
    <row r="28" spans="2:19">
      <c r="B28" s="6" t="s">
        <v>578</v>
      </c>
    </row>
    <row r="29" spans="2:19">
      <c r="B29" s="6" t="s">
        <v>579</v>
      </c>
    </row>
  </sheetData>
  <mergeCells count="20">
    <mergeCell ref="B12:G12"/>
    <mergeCell ref="B14:M15"/>
    <mergeCell ref="B16:M17"/>
    <mergeCell ref="B3:G3"/>
    <mergeCell ref="E6:G6"/>
    <mergeCell ref="E7:G7"/>
    <mergeCell ref="I3:J3"/>
    <mergeCell ref="M4:R4"/>
    <mergeCell ref="M7:R7"/>
    <mergeCell ref="L3:R3"/>
    <mergeCell ref="M5:R6"/>
    <mergeCell ref="L5:L6"/>
    <mergeCell ref="M8:R8"/>
    <mergeCell ref="M9:R9"/>
    <mergeCell ref="M10:R10"/>
    <mergeCell ref="B18:M19"/>
    <mergeCell ref="B20:M21"/>
    <mergeCell ref="B22:M23"/>
    <mergeCell ref="B24:M25"/>
    <mergeCell ref="B26:M27"/>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FD9E2-E1DE-41D8-9474-67F53D6A239A}">
  <dimension ref="B1:G34"/>
  <sheetViews>
    <sheetView topLeftCell="B13" workbookViewId="0">
      <selection activeCell="F19" sqref="F19"/>
    </sheetView>
  </sheetViews>
  <sheetFormatPr baseColWidth="10" defaultColWidth="9.109375" defaultRowHeight="14.4"/>
  <cols>
    <col min="1" max="1" width="5.44140625" customWidth="1"/>
    <col min="2" max="2" width="12.88671875" customWidth="1"/>
    <col min="3" max="3" width="46.44140625" customWidth="1"/>
    <col min="4" max="4" width="66.33203125" customWidth="1"/>
    <col min="5" max="5" width="39.88671875" style="11" customWidth="1"/>
    <col min="6" max="6" width="39.5546875" customWidth="1"/>
    <col min="7" max="7" width="30" customWidth="1"/>
  </cols>
  <sheetData>
    <row r="1" spans="2:7">
      <c r="C1" s="19"/>
      <c r="D1" s="19"/>
    </row>
    <row r="2" spans="2:7">
      <c r="B2" s="28" t="s">
        <v>580</v>
      </c>
      <c r="C2" s="28" t="s">
        <v>581</v>
      </c>
      <c r="D2" s="25" t="s">
        <v>582</v>
      </c>
      <c r="E2" s="26" t="s">
        <v>583</v>
      </c>
      <c r="F2" s="25" t="s">
        <v>584</v>
      </c>
      <c r="G2" s="91" t="s">
        <v>494</v>
      </c>
    </row>
    <row r="3" spans="2:7" ht="28.8">
      <c r="B3" s="20" t="s">
        <v>585</v>
      </c>
      <c r="C3" s="22" t="s">
        <v>586</v>
      </c>
      <c r="D3" s="20" t="s">
        <v>587</v>
      </c>
      <c r="E3" s="21" t="s">
        <v>588</v>
      </c>
      <c r="F3" s="23" t="s">
        <v>589</v>
      </c>
      <c r="G3" s="90">
        <v>46142</v>
      </c>
    </row>
    <row r="4" spans="2:7" ht="28.8">
      <c r="B4" s="20" t="s">
        <v>590</v>
      </c>
      <c r="C4" s="22" t="s">
        <v>586</v>
      </c>
      <c r="D4" s="22" t="s">
        <v>471</v>
      </c>
      <c r="E4" s="21" t="s">
        <v>591</v>
      </c>
      <c r="F4" s="23" t="s">
        <v>592</v>
      </c>
      <c r="G4" s="90">
        <v>46142</v>
      </c>
    </row>
    <row r="5" spans="2:7" ht="28.8">
      <c r="B5" s="20" t="s">
        <v>593</v>
      </c>
      <c r="C5" s="22" t="s">
        <v>586</v>
      </c>
      <c r="D5" s="22" t="s">
        <v>462</v>
      </c>
      <c r="E5" s="21" t="s">
        <v>594</v>
      </c>
      <c r="F5" s="24" t="s">
        <v>595</v>
      </c>
      <c r="G5" s="92">
        <v>46146</v>
      </c>
    </row>
    <row r="6" spans="2:7" ht="43.2">
      <c r="B6" s="20" t="s">
        <v>596</v>
      </c>
      <c r="C6" s="22" t="s">
        <v>586</v>
      </c>
      <c r="D6" s="22" t="s">
        <v>480</v>
      </c>
      <c r="E6" s="21" t="s">
        <v>597</v>
      </c>
      <c r="F6" s="23" t="s">
        <v>598</v>
      </c>
      <c r="G6" s="92">
        <v>46146</v>
      </c>
    </row>
    <row r="7" spans="2:7" ht="72">
      <c r="B7" s="20" t="s">
        <v>599</v>
      </c>
      <c r="C7" s="22" t="s">
        <v>586</v>
      </c>
      <c r="D7" s="22" t="s">
        <v>600</v>
      </c>
      <c r="E7" s="21" t="s">
        <v>601</v>
      </c>
      <c r="F7" s="27" t="s">
        <v>602</v>
      </c>
      <c r="G7" s="92">
        <v>46147</v>
      </c>
    </row>
    <row r="8" spans="2:7" ht="43.2">
      <c r="B8" s="20" t="s">
        <v>603</v>
      </c>
      <c r="C8" s="22" t="s">
        <v>586</v>
      </c>
      <c r="D8" s="22" t="s">
        <v>604</v>
      </c>
      <c r="E8" s="23" t="s">
        <v>605</v>
      </c>
      <c r="F8" s="24" t="s">
        <v>606</v>
      </c>
      <c r="G8" s="92">
        <v>46148</v>
      </c>
    </row>
    <row r="9" spans="2:7" ht="158.4">
      <c r="B9" s="72" t="s">
        <v>607</v>
      </c>
      <c r="C9" s="73" t="s">
        <v>608</v>
      </c>
      <c r="D9" s="73" t="s">
        <v>609</v>
      </c>
      <c r="E9" s="24" t="s">
        <v>610</v>
      </c>
      <c r="F9" s="23" t="s">
        <v>611</v>
      </c>
      <c r="G9" s="93">
        <v>46153</v>
      </c>
    </row>
    <row r="10" spans="2:7" ht="28.8">
      <c r="B10" s="72" t="s">
        <v>612</v>
      </c>
      <c r="C10" s="73" t="s">
        <v>608</v>
      </c>
      <c r="D10" s="94" t="s">
        <v>253</v>
      </c>
      <c r="E10" s="99" t="s">
        <v>613</v>
      </c>
      <c r="F10" s="24" t="s">
        <v>614</v>
      </c>
      <c r="G10" s="93">
        <v>46157</v>
      </c>
    </row>
    <row r="11" spans="2:7" ht="57.6">
      <c r="B11" s="98" t="s">
        <v>615</v>
      </c>
      <c r="C11" s="22" t="s">
        <v>586</v>
      </c>
      <c r="D11" s="20" t="s">
        <v>481</v>
      </c>
      <c r="E11" s="99" t="s">
        <v>616</v>
      </c>
      <c r="F11" s="99" t="s">
        <v>617</v>
      </c>
      <c r="G11" s="93">
        <v>46161</v>
      </c>
    </row>
    <row r="12" spans="2:7" ht="72">
      <c r="B12" s="72" t="s">
        <v>618</v>
      </c>
      <c r="C12" s="22" t="s">
        <v>586</v>
      </c>
      <c r="D12" s="94" t="s">
        <v>619</v>
      </c>
      <c r="E12" s="116" t="s">
        <v>620</v>
      </c>
      <c r="F12" s="99" t="s">
        <v>621</v>
      </c>
      <c r="G12" s="117">
        <v>46161</v>
      </c>
    </row>
    <row r="13" spans="2:7" ht="72">
      <c r="B13" s="72" t="s">
        <v>622</v>
      </c>
      <c r="C13" s="106" t="s">
        <v>586</v>
      </c>
      <c r="D13" s="22" t="s">
        <v>458</v>
      </c>
      <c r="E13" s="23" t="s">
        <v>623</v>
      </c>
      <c r="F13" s="23" t="s">
        <v>624</v>
      </c>
      <c r="G13" s="92">
        <v>46162</v>
      </c>
    </row>
    <row r="14" spans="2:7" ht="43.2">
      <c r="B14" s="72" t="s">
        <v>625</v>
      </c>
      <c r="C14" s="94" t="s">
        <v>608</v>
      </c>
      <c r="D14" s="20" t="s">
        <v>626</v>
      </c>
      <c r="E14" s="23" t="s">
        <v>627</v>
      </c>
      <c r="F14" s="23" t="s">
        <v>628</v>
      </c>
      <c r="G14" s="92">
        <v>46163</v>
      </c>
    </row>
    <row r="15" spans="2:7" ht="28.8">
      <c r="B15" s="72" t="s">
        <v>629</v>
      </c>
      <c r="C15" s="94" t="s">
        <v>608</v>
      </c>
      <c r="D15" s="22" t="s">
        <v>630</v>
      </c>
      <c r="E15" s="23" t="s">
        <v>631</v>
      </c>
      <c r="F15" s="23" t="s">
        <v>632</v>
      </c>
      <c r="G15" s="92">
        <v>46163</v>
      </c>
    </row>
    <row r="16" spans="2:7" ht="57.6">
      <c r="B16" s="72" t="s">
        <v>633</v>
      </c>
      <c r="C16" s="106" t="s">
        <v>586</v>
      </c>
      <c r="D16" s="20" t="s">
        <v>626</v>
      </c>
      <c r="E16" s="23" t="s">
        <v>634</v>
      </c>
      <c r="F16" s="23" t="s">
        <v>635</v>
      </c>
      <c r="G16" s="92">
        <v>46163</v>
      </c>
    </row>
    <row r="17" spans="2:7" ht="43.2">
      <c r="B17" s="72" t="s">
        <v>636</v>
      </c>
      <c r="C17" s="106" t="s">
        <v>586</v>
      </c>
      <c r="D17" s="73" t="s">
        <v>637</v>
      </c>
      <c r="E17" s="120" t="s">
        <v>638</v>
      </c>
      <c r="F17" s="24" t="s">
        <v>639</v>
      </c>
      <c r="G17" s="93">
        <v>46164</v>
      </c>
    </row>
    <row r="18" spans="2:7" ht="43.2">
      <c r="B18" s="72" t="s">
        <v>640</v>
      </c>
      <c r="C18" s="106" t="s">
        <v>586</v>
      </c>
      <c r="D18" s="73" t="s">
        <v>463</v>
      </c>
      <c r="E18" s="24" t="s">
        <v>641</v>
      </c>
      <c r="F18" s="205" t="s">
        <v>642</v>
      </c>
      <c r="G18" s="93">
        <v>46174</v>
      </c>
    </row>
    <row r="19" spans="2:7" ht="57.6">
      <c r="B19" s="72" t="s">
        <v>643</v>
      </c>
      <c r="C19" s="94" t="s">
        <v>608</v>
      </c>
      <c r="D19" s="73" t="s">
        <v>644</v>
      </c>
      <c r="E19" s="24" t="s">
        <v>645</v>
      </c>
      <c r="F19" s="24" t="s">
        <v>646</v>
      </c>
      <c r="G19" s="93">
        <v>46174</v>
      </c>
    </row>
    <row r="20" spans="2:7">
      <c r="C20" s="3"/>
      <c r="E20"/>
    </row>
    <row r="21" spans="2:7">
      <c r="C21" s="3"/>
      <c r="E21"/>
    </row>
    <row r="22" spans="2:7">
      <c r="C22" s="3"/>
    </row>
    <row r="23" spans="2:7">
      <c r="C23" s="3"/>
    </row>
    <row r="24" spans="2:7">
      <c r="C24" s="3"/>
    </row>
    <row r="25" spans="2:7">
      <c r="C25" s="3"/>
    </row>
    <row r="26" spans="2:7">
      <c r="C26" s="3"/>
    </row>
    <row r="27" spans="2:7">
      <c r="C27" s="3"/>
    </row>
    <row r="28" spans="2:7">
      <c r="C28" s="3"/>
    </row>
    <row r="29" spans="2:7">
      <c r="C29" s="3"/>
    </row>
    <row r="30" spans="2:7">
      <c r="C30" s="3"/>
    </row>
    <row r="31" spans="2:7">
      <c r="C31" s="3"/>
    </row>
    <row r="32" spans="2:7">
      <c r="C32" s="3"/>
    </row>
    <row r="33" spans="3:3">
      <c r="C33" s="3"/>
    </row>
    <row r="34" spans="3:3">
      <c r="C34" s="3"/>
    </row>
  </sheetData>
  <hyperlinks>
    <hyperlink ref="E5" r:id="rId1" xr:uid="{4C6D9180-6711-49E3-9FBA-9C7A54518D0D}"/>
    <hyperlink ref="E6" r:id="rId2" xr:uid="{95FA1B42-D224-49FF-8153-BEDA6E41CC80}"/>
    <hyperlink ref="E3" r:id="rId3" xr:uid="{704EF5FF-CE36-4048-B078-BC451305BC59}"/>
    <hyperlink ref="E7" r:id="rId4" xr:uid="{DA6DEB04-9707-41B2-901E-C55AAC5A1674}"/>
    <hyperlink ref="E8" r:id="rId5" xr:uid="{A528F631-2CF9-4737-A0DB-FC8031986DE9}"/>
    <hyperlink ref="F3" r:id="rId6" xr:uid="{C05F2371-4CAD-48AE-A5CA-8AB9D08D14C3}"/>
    <hyperlink ref="F4" r:id="rId7" xr:uid="{EBEBE1D2-9F00-47BB-B394-9BE11E26DB8C}"/>
    <hyperlink ref="F6" r:id="rId8" xr:uid="{A05E544D-C33B-42FE-B193-C8D7963B1568}"/>
    <hyperlink ref="F7" r:id="rId9" xr:uid="{7823321D-7B5E-4366-AF26-C1704BED1B2F}"/>
    <hyperlink ref="F8" r:id="rId10" xr:uid="{E6FBB49E-A183-44C8-80A5-C45958BD5801}"/>
    <hyperlink ref="E9" r:id="rId11" xr:uid="{492E4C14-6113-458F-B74E-42DC820807C0}"/>
    <hyperlink ref="F9" r:id="rId12" xr:uid="{CAF86673-6DB0-43AE-A61B-1A96D104B053}"/>
    <hyperlink ref="F5" r:id="rId13" xr:uid="{BA9487E8-5564-46D3-93D3-AFAD58DDFB8D}"/>
    <hyperlink ref="E10" r:id="rId14" xr:uid="{4E2B5E24-CB72-4BD6-9D45-D841AF808C8F}"/>
    <hyperlink ref="F10" r:id="rId15" xr:uid="{00EC7B6F-E427-499A-93F9-D3A74E2E6AF8}"/>
    <hyperlink ref="F11" r:id="rId16" xr:uid="{95443B31-78FC-49D3-8D93-3314648FD2FA}"/>
    <hyperlink ref="E11" r:id="rId17" xr:uid="{DF7D0536-5565-405B-A31E-0FBBFBC7A317}"/>
    <hyperlink ref="F12" r:id="rId18" xr:uid="{E39EC904-90C0-4256-A00F-C077EDE1ABE1}"/>
    <hyperlink ref="E12" r:id="rId19" xr:uid="{7E7BC3A4-4591-4E5C-AEA0-4F9C77AE4D79}"/>
    <hyperlink ref="E13" r:id="rId20" xr:uid="{A0F28476-FA21-434E-857B-AE5DEB1FC795}"/>
    <hyperlink ref="F13" r:id="rId21" xr:uid="{FA927B23-1C48-4F36-A40B-F7C2D6A5FA3E}"/>
    <hyperlink ref="E14" r:id="rId22" xr:uid="{F018B87B-1896-4792-A56F-79C4BE3C7450}"/>
    <hyperlink ref="F14" r:id="rId23" xr:uid="{6DC171AD-D481-49B5-B3DB-A63600D68E48}"/>
    <hyperlink ref="F15" r:id="rId24" xr:uid="{0371FAF2-3F5B-4569-91B4-39D809672538}"/>
    <hyperlink ref="E15" r:id="rId25" xr:uid="{F8D4D474-049A-42E4-93F7-69ED3FDD8FCE}"/>
    <hyperlink ref="E16" r:id="rId26" xr:uid="{AD759931-1742-4ACE-B10E-0AB53CC90DA9}"/>
    <hyperlink ref="F16" r:id="rId27" xr:uid="{CCE63608-74CA-42FA-B1EE-994B0230B8E4}"/>
    <hyperlink ref="E17" r:id="rId28" xr:uid="{7C2C7A62-E4F0-4723-8F0C-880375590966}"/>
    <hyperlink ref="F17" r:id="rId29" xr:uid="{AC763FA5-9D07-4B74-AEDB-C164691A0D71}"/>
    <hyperlink ref="E18" r:id="rId30" xr:uid="{3FA2C627-4CBB-4F7C-97E5-597335175F85}"/>
    <hyperlink ref="F18" r:id="rId31" xr:uid="{CAA1F394-906C-4EB1-9565-A595BDB3C34D}"/>
    <hyperlink ref="F19" r:id="rId32" xr:uid="{460DD14D-F23D-437F-8D95-9DCAA979588C}"/>
    <hyperlink ref="E19" r:id="rId33" xr:uid="{31F8E583-98C3-4058-9EA1-F5AAB9AE03F6}"/>
  </hyperlinks>
  <pageMargins left="0.7" right="0.7" top="0.75" bottom="0.75" header="0.3" footer="0.3"/>
  <tableParts count="1">
    <tablePart r:id="rId3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60b2574-c8e5-4143-9c8d-933800433a55" xsi:nil="true"/>
    <Gerencia xmlns="48d89991-397d-4ecb-be1d-011b72cd479f" xsi:nil="true"/>
    <Ingrese_x0020_la_x0020_priodidad_x0020_del_x0020_requerimiento xmlns="48d89991-397d-4ecb-be1d-011b72cd479f" xsi:nil="true"/>
    <Cuenta_x0020_con_x0020_Anexo_x0020_el_x0020_Memorando xmlns="48d89991-397d-4ecb-be1d-011b72cd479f" xsi:nil="true"/>
    <lcf76f155ced4ddcb4097134ff3c332f xmlns="48d89991-397d-4ecb-be1d-011b72cd479f">
      <Terms xmlns="http://schemas.microsoft.com/office/infopath/2007/PartnerControls"/>
    </lcf76f155ced4ddcb4097134ff3c332f>
    <Ingrese_x0020_Memorando_x0020_con_x0020_el_x0020_que_x0020_se_x0020_solicita xmlns="48d89991-397d-4ecb-be1d-011b72cd479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199AA3C3A3F98418CD0F4EF2538A19D" ma:contentTypeVersion="18" ma:contentTypeDescription="Crear nuevo documento." ma:contentTypeScope="" ma:versionID="5578302ceb7389941f651da5f95b9ecb">
  <xsd:schema xmlns:xsd="http://www.w3.org/2001/XMLSchema" xmlns:xs="http://www.w3.org/2001/XMLSchema" xmlns:p="http://schemas.microsoft.com/office/2006/metadata/properties" xmlns:ns2="48d89991-397d-4ecb-be1d-011b72cd479f" xmlns:ns3="860b2574-c8e5-4143-9c8d-933800433a55" targetNamespace="http://schemas.microsoft.com/office/2006/metadata/properties" ma:root="true" ma:fieldsID="bec263dc390e7aa8dfe72606a62fcc44" ns2:_="" ns3:_="">
    <xsd:import namespace="48d89991-397d-4ecb-be1d-011b72cd479f"/>
    <xsd:import namespace="860b2574-c8e5-4143-9c8d-933800433a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grese_x0020_Memorando_x0020_con_x0020_el_x0020_que_x0020_se_x0020_solicita" minOccurs="0"/>
                <xsd:element ref="ns2:Cuenta_x0020_con_x0020_Anexo_x0020_el_x0020_Memorando" minOccurs="0"/>
                <xsd:element ref="ns2:Gerencia" minOccurs="0"/>
                <xsd:element ref="ns2:Ingrese_x0020_la_x0020_priodidad_x0020_del_x0020_requerimien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d89991-397d-4ecb-be1d-011b72cd47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140dcf0f-ef43-4134-b02e-4da2af1727e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Ingrese_x0020_Memorando_x0020_con_x0020_el_x0020_que_x0020_se_x0020_solicita" ma:index="21" nillable="true" ma:displayName="Ingrese Memorando con el que se solicita" ma:format="Dropdown" ma:internalName="Ingrese_x0020_Memorando_x0020_con_x0020_el_x0020_que_x0020_se_x0020_solicita">
      <xsd:simpleType>
        <xsd:restriction base="dms:Text">
          <xsd:maxLength value="255"/>
        </xsd:restriction>
      </xsd:simpleType>
    </xsd:element>
    <xsd:element name="Cuenta_x0020_con_x0020_Anexo_x0020_el_x0020_Memorando" ma:index="22" nillable="true" ma:displayName="Cuenta con Anexo el Memorando" ma:format="Dropdown" ma:internalName="Cuenta_x0020_con_x0020_Anexo_x0020_el_x0020_Memorando">
      <xsd:simpleType>
        <xsd:restriction base="dms:Choice">
          <xsd:enumeration value="Si"/>
          <xsd:enumeration value="No"/>
        </xsd:restriction>
      </xsd:simpleType>
    </xsd:element>
    <xsd:element name="Gerencia" ma:index="23" nillable="true" ma:displayName="Gerencia" ma:format="Dropdown" ma:internalName="Gerencia">
      <xsd:simpleType>
        <xsd:restriction base="dms:Choice">
          <xsd:enumeration value="Gerencia de TI"/>
          <xsd:enumeration value="Gerencia de Operaciones"/>
          <xsd:enumeration value="Gerencia de Recursos Humanos y Cultura"/>
        </xsd:restriction>
      </xsd:simpleType>
    </xsd:element>
    <xsd:element name="Ingrese_x0020_la_x0020_priodidad_x0020_del_x0020_requerimiento" ma:index="24" nillable="true" ma:displayName="Ingrese la priodidad del requerimiento" ma:format="Dropdown" ma:internalName="Ingrese_x0020_la_x0020_priodidad_x0020_del_x0020_requerimiento"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860b2574-c8e5-4143-9c8d-933800433a5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bcaf0f1f-a108-470f-a8d6-f756cdded91f}" ma:internalName="TaxCatchAll" ma:showField="CatchAllData" ma:web="860b2574-c8e5-4143-9c8d-933800433a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0789BF03-880B-4197-9BCE-B8270BA91F85}">
  <ds:schemaRefs>
    <ds:schemaRef ds:uri="http://schemas.microsoft.com/office/2006/metadata/properties"/>
    <ds:schemaRef ds:uri="http://schemas.microsoft.com/office/infopath/2007/PartnerControls"/>
    <ds:schemaRef ds:uri="860b2574-c8e5-4143-9c8d-933800433a55"/>
    <ds:schemaRef ds:uri="48d89991-397d-4ecb-be1d-011b72cd479f"/>
  </ds:schemaRefs>
</ds:datastoreItem>
</file>

<file path=customXml/itemProps2.xml><?xml version="1.0" encoding="utf-8"?>
<ds:datastoreItem xmlns:ds="http://schemas.openxmlformats.org/officeDocument/2006/customXml" ds:itemID="{8223CECF-A9C6-4A69-81A8-4FCC3DDEF9F9}">
  <ds:schemaRefs>
    <ds:schemaRef ds:uri="http://schemas.microsoft.com/sharepoint/v3/contenttype/forms"/>
  </ds:schemaRefs>
</ds:datastoreItem>
</file>

<file path=customXml/itemProps3.xml><?xml version="1.0" encoding="utf-8"?>
<ds:datastoreItem xmlns:ds="http://schemas.openxmlformats.org/officeDocument/2006/customXml" ds:itemID="{942B43CA-AFDB-4F53-A899-ED3AEE7F58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d89991-397d-4ecb-be1d-011b72cd479f"/>
    <ds:schemaRef ds:uri="860b2574-c8e5-4143-9c8d-933800433a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4700200-88B8-4212-B3E6-879DE058FF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Detalle1</vt:lpstr>
      <vt:lpstr>ResumenTemporal</vt:lpstr>
      <vt:lpstr>PRIORIDAD UNO</vt:lpstr>
      <vt:lpstr>Cálculos Manual</vt:lpstr>
      <vt:lpstr>Informe</vt:lpstr>
      <vt:lpstr>Timeline</vt:lpstr>
      <vt:lpstr>FERIADOS</vt:lpstr>
      <vt:lpstr>Información</vt:lpstr>
      <vt:lpstr>Historial de Versiones</vt:lpstr>
    </vt:vector>
  </TitlesOfParts>
  <Manager/>
  <Company>Banco de la Nacion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VICKY FIORELLA SANCHEZ ROJAS</dc:creator>
  <cp:keywords/>
  <dc:description/>
  <cp:lastModifiedBy>u202217814 (Gutierrez Herrera, Diego Armando)</cp:lastModifiedBy>
  <cp:revision/>
  <dcterms:created xsi:type="dcterms:W3CDTF">2023-11-27T20:06:52Z</dcterms:created>
  <dcterms:modified xsi:type="dcterms:W3CDTF">2026-06-13T18:41:07Z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0x0101009199AA3C3A3F98418CD0F4EF2538A19D</vt:lpwstr>
  </property>
  <property fmtid="{D5CDD505-2E9C-101B-9397-08002B2CF9AE}" pid="3" name="MediaServiceImageTags">
    <vt:lpwstr/>
  </property>
</Properties>
</file>